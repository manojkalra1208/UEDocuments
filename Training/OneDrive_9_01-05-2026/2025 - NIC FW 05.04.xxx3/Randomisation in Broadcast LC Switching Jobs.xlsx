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networkportal.sharepoint.com/sites/ENSDHub/Communication Networks Quality/AMI Network Operations/09 Project Support/02 WorkInProgress/2024 - NIC FW 05.04.xxx3/"/>
    </mc:Choice>
  </mc:AlternateContent>
  <xr:revisionPtr revIDLastSave="2017" documentId="8_{34514C0A-4E09-4E15-B497-AD37ACB8D193}" xr6:coauthVersionLast="47" xr6:coauthVersionMax="47" xr10:uidLastSave="{AC71AD04-BB17-44CE-921A-6932A0D5ABA5}"/>
  <bookViews>
    <workbookView xWindow="38280" yWindow="-120" windowWidth="38640" windowHeight="21240" activeTab="5" xr2:uid="{C9BB22A1-16D6-4F9F-A87A-ED3BBC090E25}"/>
  </bookViews>
  <sheets>
    <sheet name="Test 1" sheetId="3" r:id="rId1"/>
    <sheet name="Test 2" sheetId="6" r:id="rId2"/>
    <sheet name="Sheet3" sheetId="8" r:id="rId3"/>
    <sheet name="Sheet1" sheetId="1" r:id="rId4"/>
    <sheet name="Sheet2" sheetId="4" r:id="rId5"/>
    <sheet name="U1200 T2116 0707" sheetId="7" r:id="rId6"/>
    <sheet name="U1300" sheetId="9" r:id="rId7"/>
  </sheets>
  <definedNames>
    <definedName name="_xlnm._FilterDatabase" localSheetId="5" hidden="1">'U1200 T2116 0707'!$A$3:$U$36</definedName>
    <definedName name="_xlnm._FilterDatabase" localSheetId="6" hidden="1">'U1300'!$A$3:$T$22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2" i="9" l="1"/>
  <c r="N21" i="9"/>
  <c r="N20" i="9"/>
  <c r="N19" i="9"/>
  <c r="N8" i="9"/>
  <c r="N9" i="9"/>
  <c r="N10" i="9"/>
  <c r="N11" i="9"/>
  <c r="N12" i="9"/>
  <c r="N13" i="9"/>
  <c r="N14" i="9"/>
  <c r="N15" i="9"/>
  <c r="N7" i="9"/>
  <c r="N6" i="9"/>
  <c r="N5" i="9"/>
  <c r="N4" i="9"/>
  <c r="P19" i="7"/>
  <c r="P15" i="7"/>
  <c r="P14" i="7"/>
  <c r="P13" i="7"/>
  <c r="P12" i="7"/>
  <c r="P11" i="7"/>
  <c r="P27" i="7"/>
  <c r="P28" i="7"/>
  <c r="P29" i="7"/>
  <c r="P30" i="7"/>
  <c r="P31" i="7"/>
  <c r="P32" i="7"/>
  <c r="P10" i="7"/>
  <c r="P26" i="7"/>
  <c r="P9" i="7"/>
  <c r="P25" i="7"/>
  <c r="P8" i="7"/>
  <c r="P5" i="7"/>
  <c r="P6" i="7"/>
  <c r="P7" i="7"/>
  <c r="P16" i="7"/>
  <c r="P17" i="7"/>
  <c r="P18" i="7"/>
  <c r="P20" i="7"/>
  <c r="P21" i="7"/>
  <c r="P22" i="7"/>
  <c r="P23" i="7"/>
  <c r="P24" i="7"/>
  <c r="P33" i="7"/>
  <c r="P34" i="7"/>
  <c r="P35" i="7"/>
  <c r="P36" i="7"/>
  <c r="P4" i="7"/>
  <c r="N20" i="6"/>
  <c r="N35" i="6"/>
  <c r="P35" i="6" s="1"/>
  <c r="N60" i="6"/>
  <c r="P60" i="6" s="1"/>
  <c r="N59" i="6"/>
  <c r="P59" i="6" s="1"/>
  <c r="N58" i="6"/>
  <c r="P58" i="6" s="1"/>
  <c r="N57" i="6"/>
  <c r="P57" i="6" s="1"/>
  <c r="N56" i="6"/>
  <c r="P56" i="6" s="1"/>
  <c r="N55" i="6"/>
  <c r="P55" i="6" s="1"/>
  <c r="N54" i="6"/>
  <c r="P54" i="6" s="1"/>
  <c r="N53" i="6"/>
  <c r="P53" i="6" s="1"/>
  <c r="N48" i="6"/>
  <c r="P48" i="6" s="1"/>
  <c r="N47" i="6"/>
  <c r="P47" i="6" s="1"/>
  <c r="N46" i="6"/>
  <c r="P46" i="6" s="1"/>
  <c r="N45" i="6"/>
  <c r="P45" i="6" s="1"/>
  <c r="N44" i="6"/>
  <c r="P44" i="6" s="1"/>
  <c r="N43" i="6"/>
  <c r="P43" i="6" s="1"/>
  <c r="N42" i="6"/>
  <c r="P42" i="6" s="1"/>
  <c r="N41" i="6"/>
  <c r="P41" i="6" s="1"/>
  <c r="N40" i="6"/>
  <c r="P40" i="6" s="1"/>
  <c r="N39" i="6"/>
  <c r="P39" i="6" s="1"/>
  <c r="N38" i="6"/>
  <c r="P38" i="6" s="1"/>
  <c r="N37" i="6"/>
  <c r="P37" i="6" s="1"/>
  <c r="N36" i="6"/>
  <c r="P36" i="6" s="1"/>
  <c r="N34" i="6"/>
  <c r="P34" i="6" s="1"/>
  <c r="N33" i="6"/>
  <c r="P33" i="6" s="1"/>
  <c r="N27" i="6"/>
  <c r="P27" i="6" s="1"/>
  <c r="N26" i="6"/>
  <c r="P26" i="6" s="1"/>
  <c r="N25" i="6"/>
  <c r="P25" i="6" s="1"/>
  <c r="N24" i="6"/>
  <c r="P24" i="6" s="1"/>
  <c r="N23" i="6"/>
  <c r="P23" i="6" s="1"/>
  <c r="N22" i="6"/>
  <c r="P22" i="6" s="1"/>
  <c r="N21" i="6"/>
  <c r="P21" i="6" s="1"/>
  <c r="P20" i="6"/>
  <c r="N11" i="6"/>
  <c r="P11" i="6" s="1"/>
  <c r="N10" i="6"/>
  <c r="P10" i="6" s="1"/>
  <c r="N5" i="6"/>
  <c r="P5" i="6" s="1"/>
  <c r="N4" i="6"/>
  <c r="P4" i="6" s="1"/>
  <c r="R4" i="3"/>
  <c r="R5" i="3"/>
  <c r="R6" i="3"/>
  <c r="R7" i="3"/>
  <c r="R8" i="3"/>
  <c r="R9" i="3"/>
  <c r="R10" i="3"/>
  <c r="R11" i="3"/>
  <c r="P23" i="3"/>
  <c r="R44" i="3"/>
  <c r="R42" i="3"/>
  <c r="R34" i="3"/>
  <c r="R23" i="3"/>
  <c r="R21" i="3"/>
  <c r="P50" i="3"/>
  <c r="R50" i="3" s="1"/>
  <c r="P51" i="3"/>
  <c r="R51" i="3" s="1"/>
  <c r="P52" i="3"/>
  <c r="R52" i="3" s="1"/>
  <c r="P53" i="3"/>
  <c r="R53" i="3" s="1"/>
  <c r="P54" i="3"/>
  <c r="R54" i="3" s="1"/>
  <c r="P55" i="3"/>
  <c r="R55" i="3" s="1"/>
  <c r="P56" i="3"/>
  <c r="R56" i="3" s="1"/>
  <c r="P49" i="3"/>
  <c r="R49" i="3" s="1"/>
  <c r="P30" i="3"/>
  <c r="R30" i="3" s="1"/>
  <c r="P31" i="3"/>
  <c r="R31" i="3" s="1"/>
  <c r="P32" i="3"/>
  <c r="R32" i="3" s="1"/>
  <c r="P33" i="3"/>
  <c r="R33" i="3" s="1"/>
  <c r="P34" i="3"/>
  <c r="P35" i="3"/>
  <c r="R35" i="3" s="1"/>
  <c r="P36" i="3"/>
  <c r="R36" i="3" s="1"/>
  <c r="P37" i="3"/>
  <c r="R37" i="3" s="1"/>
  <c r="P38" i="3"/>
  <c r="R38" i="3" s="1"/>
  <c r="P39" i="3"/>
  <c r="R39" i="3" s="1"/>
  <c r="P40" i="3"/>
  <c r="R40" i="3" s="1"/>
  <c r="P41" i="3"/>
  <c r="R41" i="3" s="1"/>
  <c r="P42" i="3"/>
  <c r="P43" i="3"/>
  <c r="R43" i="3" s="1"/>
  <c r="P44" i="3"/>
  <c r="P29" i="3"/>
  <c r="R29" i="3" s="1"/>
  <c r="P17" i="3"/>
  <c r="R17" i="3" s="1"/>
  <c r="P18" i="3"/>
  <c r="R18" i="3" s="1"/>
  <c r="P19" i="3"/>
  <c r="R19" i="3" s="1"/>
  <c r="P20" i="3"/>
  <c r="R20" i="3" s="1"/>
  <c r="P21" i="3"/>
  <c r="P22" i="3"/>
  <c r="R22" i="3" s="1"/>
  <c r="P16" i="3"/>
  <c r="R16" i="3" s="1"/>
  <c r="P5" i="3"/>
  <c r="P6" i="3"/>
  <c r="P7" i="3"/>
  <c r="P8" i="3"/>
  <c r="P9" i="3"/>
  <c r="P10" i="3"/>
  <c r="P11" i="3"/>
  <c r="P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tc={C14E5672-C25B-4EC9-96A8-EC659C99E205}</author>
    <author>tc={259E3FA2-51B0-4343-A480-E332472872FB}</author>
  </authors>
  <commentList>
    <comment ref="H3" authorId="0" shapeId="0" xr:uid="{C14E5672-C25B-4EC9-96A8-EC659C99E205}">
      <text>
        <t>[Threaded comment]
Your version of Excel allows you to read this threaded comment; however, any edits to it will get removed if the file is opened in a newer version of Excel. Learn more: https://go.microsoft.com/fwlink/?linkid=870924
Comment:
    Tertiary Group: No Random Close/No Random Open
Secondary Group: Random Close/Random Open</t>
      </text>
    </comment>
    <comment ref="A18" authorId="1" shapeId="0" xr:uid="{259E3FA2-51B0-4343-A480-E332472872FB}">
      <text>
        <t>[Threaded comment]
Your version of Excel allows you to read this threaded comment; however, any edits to it will get removed if the file is opened in a newer version of Excel. Learn more: https://go.microsoft.com/fwlink/?linkid=870924
Comment:
    First test</t>
      </text>
    </comment>
  </commentList>
</comments>
</file>

<file path=xl/sharedStrings.xml><?xml version="1.0" encoding="utf-8"?>
<sst xmlns="http://schemas.openxmlformats.org/spreadsheetml/2006/main" count="1979" uniqueCount="148">
  <si>
    <t>YES</t>
  </si>
  <si>
    <t>N/A</t>
  </si>
  <si>
    <t>NO</t>
  </si>
  <si>
    <t>Meter  Settings/Program</t>
  </si>
  <si>
    <t>LC Override Randomisation</t>
  </si>
  <si>
    <t>Broadcast Command</t>
  </si>
  <si>
    <t>LC Override (Connect) Randomisation</t>
  </si>
  <si>
    <t>Broadcast Execution (Immediate/Scheduled)</t>
  </si>
  <si>
    <t>Immediate</t>
  </si>
  <si>
    <t>Execution Results</t>
  </si>
  <si>
    <t>LC Override (Connect) Randomised?</t>
  </si>
  <si>
    <t>Scheduled</t>
  </si>
  <si>
    <t>U1200 Meter</t>
  </si>
  <si>
    <t>U1300 Meter</t>
  </si>
  <si>
    <t>LC Override  Randomisation</t>
  </si>
  <si>
    <t xml:space="preserve">LC Override </t>
  </si>
  <si>
    <t>Connect</t>
  </si>
  <si>
    <t>12MP Meter</t>
  </si>
  <si>
    <t>LC Switching (ON) Randomisation (MIN)</t>
  </si>
  <si>
    <t>LC Switching (OFF) Randomisation (MIN)</t>
  </si>
  <si>
    <t>LC Override Duration</t>
  </si>
  <si>
    <t>Disconnect</t>
  </si>
  <si>
    <t>U3400 Meter</t>
  </si>
  <si>
    <t>NIC Firmware</t>
  </si>
  <si>
    <t>3.12.9</t>
  </si>
  <si>
    <t>4.08.2</t>
  </si>
  <si>
    <t>5.04.0</t>
  </si>
  <si>
    <t xml:space="preserve">Override Period
(MIN) </t>
  </si>
  <si>
    <t>NIC FW</t>
  </si>
  <si>
    <t>Meter FW</t>
  </si>
  <si>
    <t>R5.0</t>
  </si>
  <si>
    <t>5.4.3</t>
  </si>
  <si>
    <t>R5.4</t>
  </si>
  <si>
    <t>R5.9</t>
  </si>
  <si>
    <t>FSB3GF19</t>
  </si>
  <si>
    <t>LC Override
Randomisation</t>
  </si>
  <si>
    <t>LC Switching (ON)
Randomisation (MIN)</t>
  </si>
  <si>
    <t>LC Switching (OFF)
Randomisation (MIN)</t>
  </si>
  <si>
    <t>Randomisation</t>
  </si>
  <si>
    <t>Operation</t>
  </si>
  <si>
    <t>Deploy Date</t>
  </si>
  <si>
    <t>Timestamp</t>
  </si>
  <si>
    <t>Final Result</t>
  </si>
  <si>
    <t>NOTES/Observations</t>
  </si>
  <si>
    <t>Duration
(minutes)</t>
  </si>
  <si>
    <t>PROD Meter  Settings/Program</t>
  </si>
  <si>
    <t>U1200</t>
  </si>
  <si>
    <t>U1300</t>
  </si>
  <si>
    <t>U3400</t>
  </si>
  <si>
    <t>4.8.2c</t>
  </si>
  <si>
    <t>12MP</t>
  </si>
  <si>
    <t>U1300 Meter (U1200 Compatibility = FALSE)</t>
  </si>
  <si>
    <t>U3400 Meter (U1200 Compatibility = FALSE)</t>
  </si>
  <si>
    <t>Meter Number</t>
  </si>
  <si>
    <t>B4259812</t>
  </si>
  <si>
    <t>B4259817</t>
  </si>
  <si>
    <t>SAM220322</t>
  </si>
  <si>
    <t>B6280648</t>
  </si>
  <si>
    <t>CZ126306</t>
  </si>
  <si>
    <t>CZ245857</t>
  </si>
  <si>
    <t>A0408664</t>
  </si>
  <si>
    <t>A2418988</t>
  </si>
  <si>
    <t>A0976533</t>
  </si>
  <si>
    <t>A6976530</t>
  </si>
  <si>
    <t>Failed</t>
  </si>
  <si>
    <t>11/07/2024  4:20 PM</t>
  </si>
  <si>
    <t>11/07/2024  4:30 PM</t>
  </si>
  <si>
    <t>PASS</t>
  </si>
  <si>
    <t>FAIL</t>
  </si>
  <si>
    <t>11/07/2024  4:32 PM</t>
  </si>
  <si>
    <t>11/07/2024  4:29 PM</t>
  </si>
  <si>
    <t>11/07/2024  4:42 PM</t>
  </si>
  <si>
    <t>LC closes immediately</t>
  </si>
  <si>
    <t>12/07/2024 12:10 PM</t>
  </si>
  <si>
    <t>12/07/2024 3:20 PM</t>
  </si>
  <si>
    <t>12/07/2024 12:16 PM</t>
  </si>
  <si>
    <t>LC does not close immediately</t>
  </si>
  <si>
    <t>12/07/2024 12:34 PM</t>
  </si>
  <si>
    <t>LC opens immediately</t>
  </si>
  <si>
    <t>12/07/2024 3:21 PM</t>
  </si>
  <si>
    <t>12/07/2024 4:18 PM</t>
  </si>
  <si>
    <t>12/07/2024 5:05 PM</t>
  </si>
  <si>
    <t>LC opens immediately; LC closes with randomisation, hence LC override lasts 49 mins instead of 20 mins</t>
  </si>
  <si>
    <t>LC opens immediately; LC closes with randomisation, hence LC override lasts 24 mins instead of 20 mins</t>
  </si>
  <si>
    <t>LC closes with randomisation, hence LC override lasts 27 mins instead of 20 mins</t>
  </si>
  <si>
    <t>LC closes with randomisation, hence LC override lasts 44 mins instead of 20 mins</t>
  </si>
  <si>
    <t>LC opens immediately;  LC closes with randomisation, hence LC override lasts 60 mins instead of 20 mins</t>
  </si>
  <si>
    <t xml:space="preserve"> LC closes with randomisation, hence LC override lasts 52 mins instead of 20 mins</t>
  </si>
  <si>
    <t xml:space="preserve"> LC closes with randomisation, hence LC override lasts 25 mins instead of 20 mins</t>
  </si>
  <si>
    <t>15/07/2024 12:00 PM</t>
  </si>
  <si>
    <t>LC opens immediately; override follows program override (8 hrs) and not the broadcast override (20 mins)</t>
  </si>
  <si>
    <t>15/07/2024 3:35 PM</t>
  </si>
  <si>
    <t>15/07/2024 4:20 PM</t>
  </si>
  <si>
    <t>LC closes immediately; override follows program override (8 hrs) and not the broadcast override (20 mins)</t>
  </si>
  <si>
    <t>Override follows program override (8 hrs) and not the broadcast override (20 mins)</t>
  </si>
  <si>
    <t>Randomized</t>
  </si>
  <si>
    <t>LC randomised but broadcast has randomisation = NO</t>
  </si>
  <si>
    <t>Remarks</t>
  </si>
  <si>
    <t>Known behaviour for U1300. Broadcast LC randomisation follows the meter program setting for LC override randomisation value/setting</t>
  </si>
  <si>
    <t>Known behaviour for U1200. Broadcast LC randomisation follows the meter program setting for LC switching randomisation value/setting</t>
  </si>
  <si>
    <t>Randomised Expectation</t>
  </si>
  <si>
    <t>Unexpected. Where did the randomisation on close came from? Is the randomisation on the LC action upon expiry of the duration following the randomisation of the LC switching schedule? Need to repeat.</t>
  </si>
  <si>
    <t>Unexpected for NIC3.12.9c. Where did the randomisation on close came from? Is the randomisation on the LC action upon expiry of the duration following the randomisation of the LC switching schedule? Need to repeat.</t>
  </si>
  <si>
    <t>Unexpected for 5.4.3. Expecting that the duration will not be 20 and LC will close with randomisation following the setting of the LC switching randomisation same as U1300 on R5.4/5.4.3</t>
  </si>
  <si>
    <t>Following the R5.4/3.12.9 behaviour. Broadcast LC randomisation follows the meter program setting for LC override randomisation value/setting</t>
  </si>
  <si>
    <t>Action</t>
  </si>
  <si>
    <t>Will need to repeat this test later to find a workaround by modifying T2116 settings</t>
  </si>
  <si>
    <t>Will need to repeat this test later to confirm hypothesis by using a non-zero LC override randomisation value/setting.</t>
  </si>
  <si>
    <t>Will need to repeat this test later to confirm hypothesis by using a non-zero LC switching OFF randomisation value/setting.</t>
  </si>
  <si>
    <t>Need to repeat this test using the current values/settings.</t>
  </si>
  <si>
    <t>Need to repeat with a shorter override duration</t>
  </si>
  <si>
    <t>A7418990</t>
  </si>
  <si>
    <t>A7408670</t>
  </si>
  <si>
    <t>0707</t>
  </si>
  <si>
    <t>Group</t>
  </si>
  <si>
    <t>Tertiary</t>
  </si>
  <si>
    <t>Secondary</t>
  </si>
  <si>
    <t>T2116</t>
  </si>
  <si>
    <t>Tertiary Group: No Random Close/No Random Open</t>
  </si>
  <si>
    <t>Secondary Group: Random Close/Random Open</t>
  </si>
  <si>
    <t>Randomisation Result</t>
  </si>
  <si>
    <t>Override Duration Result</t>
  </si>
  <si>
    <t>Even if the BCAST command has randomisation set to YES, T2116 setting has set Tertiary Group to no randomisation. Hence, the LC connected without randomisation because it followed the setting on T2116.</t>
  </si>
  <si>
    <t>BCAST command has randomisation set to NO, T2116 setting has set Tertiary Group to no randomisation. LC connected without randomisation, assuming it followed the setting on T2116.</t>
  </si>
  <si>
    <t>There is no randomisation on disconnect/open which followed the setting on T2116. But the override duration that was sent on the BCAST command was 20 minutes but the LC opened for more than 20 minutes. It looks like the LC closing followed the LC close/on randomisation set in the meter switching program. This is not what is desired. The action on the BCAST command should only follow what is on the BCAST command and T2116.</t>
  </si>
  <si>
    <t>There is no randomisation on connect/close which followed the setting on T2116. But the override duration that was sent on the BCAST command was 20 minutes but the LC closed for more than 20 minutes. It looks like the LC opening followed the LC open/off randomisation set in the meter switching program. This is not what is desired. The action on the BCAST command should only follow what is on the BCAST command and T2116.</t>
  </si>
  <si>
    <t>BCAST command has randomisation set to YES, T2116 setting has set Secondary Group to with randomisation. LC connected with randomisation, assuming it followed the setting on T2116.</t>
  </si>
  <si>
    <t>BCAST command has randomisation set to NO, T2116 setting has set Secondary Group to with randomisation. LC connected with randomisation, assuming it followed the setting on T2116.</t>
  </si>
  <si>
    <t>BCAST command has randomisation set to YES, T2116 setting has set Secondary Group to with randomisation. LC disconnected with randomisation, assuming it followed the setting on T2116.</t>
  </si>
  <si>
    <t>BCAST command has randomisation set to NO, T2116 setting has set Secondary Group to with randomisation. LC disconnected with randomisation, assuming it followed the setting on T2116.</t>
  </si>
  <si>
    <t>The randomisation on connect/close followed the setting on T2116 but since the LC swithch ON randomisation is set to 0, then no randomisation is achieved. But, the override duration that was sent on the BCAST command was 20 minutes but the LC closed for more than 20 minutes. It looks like the LC opening followed the LC open/off randomisation set in the meter switching program. This is not what is desired. The action on the BCAST command should only follow what is on the BCAST command and T2116.</t>
  </si>
  <si>
    <t>The randomisation on disconnect/open followed the setting on T2116 but since the LC swithch OFF randomisation is set to 0, then no randomisation is achieved. But, the override duration that was sent on the BCAST command was 20 minutes but the LC opened for more than 20 minutes. It looks like the LC closing followed the LC close/on randomisation set in the meter switching program. This is not what is desired. The action on the BCAST command should only follow what is on the BCAST command and T2116.</t>
  </si>
  <si>
    <t>BCAST command has randomisation set to NO and T2116 setting has set Secondary Group to with randomisation. LC disconnected with no randomisation even though the LC switching randomisation OFF/open is set to 30 minutes. The expectation here is that the LC will open with randomisation of 30 minutes because of the combination of the setting in T2116 and LC switching randomisation OFF/open.</t>
  </si>
  <si>
    <t>CONCLUSION</t>
  </si>
  <si>
    <t>Switching Randomisation</t>
  </si>
  <si>
    <t>LC Ransomisation</t>
  </si>
  <si>
    <t>The behaviour of LC at the start action (LC opening for a disconnect command, LC closing for a connect command) when overriden via broadcast command is determined by the combination of the setting in the broadcast group in T2116 and the value of the LC Swtiching ON/OFF Randomisation in the switching schedule.With the setting in T2116 the priority.</t>
  </si>
  <si>
    <t>The exception to this is row #18 which is on R5.0, 3.12.9</t>
  </si>
  <si>
    <t>The behaviour of LC at the expiry (LC closing for a disconnect command, LC opening for a connect command) of the override  via broadcast command is determined by the value of the LC Swtiching ON/OFF Randomisation in the switching schedule. This is not the desired behaviour.</t>
  </si>
  <si>
    <t xml:space="preserve">It would either be that there is an extra setting/table called LC Override Ransomisation which will determine the randomisation value for any LC override. This should be implemented in a way that it is only on the meter firmware and without any  NIC firmware changes. </t>
  </si>
  <si>
    <t>The other way would be that the behaviour of LC at the expiry will follow what is on T2116. If the behaviour follows the T2116 setting, then it would just be a matter of setting the correct value in T2116 whether there is randomisation on close/open or not. This limits the business on the commands available since the T2116 will only be set once.</t>
  </si>
  <si>
    <t>A5970029</t>
  </si>
  <si>
    <t>5.4.33</t>
  </si>
  <si>
    <t>0-30</t>
  </si>
  <si>
    <t>1-10</t>
  </si>
  <si>
    <t>5-10</t>
  </si>
  <si>
    <t>Failed on duration. LC opens immediately but LC was opened for 52 minutes instead of 20 minutes.</t>
  </si>
  <si>
    <t>Failed on both randomisation and duration. LC opens immediately and LC was opened for 40 minutes instead of 20 minutes. (Missing events, cannot verify)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</si>
</sst>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mm\ AM/PM"/>
    <numFmt numFmtId="165" formatCode="[mm]"/>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sz val="11"/>
      <color theme="0"/>
      <name val="Calibri"/>
      <family val="2"/>
      <scheme val="minor"/>
    </font>
    <font>
      <b/>
      <sz val="11"/>
      <color rgb="FFFA7D00"/>
      <name val="Calibri"/>
      <family val="2"/>
      <scheme val="minor"/>
    </font>
    <font>
      <sz val="9"/>
      <color theme="1"/>
      <name val="Segoe UI"/>
      <family val="2"/>
    </font>
    <font>
      <sz val="11"/>
      <color rgb="FF9C0006"/>
      <name val="Calibri"/>
      <family val="2"/>
      <scheme val="minor"/>
    </font>
  </fonts>
  <fills count="21">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theme="8" tint="0.79998168889431442"/>
        <bgColor indexed="65"/>
      </patternFill>
    </fill>
    <fill>
      <patternFill patternType="solid">
        <fgColor rgb="FFFF0000"/>
        <bgColor indexed="64"/>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2F2F2"/>
      </patternFill>
    </fill>
    <fill>
      <patternFill patternType="solid">
        <fgColor rgb="FFFFFFCC"/>
      </patternFill>
    </fill>
    <fill>
      <patternFill patternType="solid">
        <fgColor theme="5" tint="0.39997558519241921"/>
        <bgColor indexed="65"/>
      </patternFill>
    </fill>
    <fill>
      <patternFill patternType="solid">
        <fgColor rgb="FFFFC7CE"/>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style="thin">
        <color indexed="64"/>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9">
    <xf numFmtId="0" fontId="0" fillId="0" borderId="0"/>
    <xf numFmtId="0" fontId="3" fillId="2" borderId="0" applyNumberFormat="0" applyBorder="0" applyAlignment="0" applyProtection="0"/>
    <xf numFmtId="0" fontId="4" fillId="3" borderId="0" applyNumberFormat="0" applyBorder="0" applyAlignment="0" applyProtection="0"/>
    <xf numFmtId="0" fontId="5" fillId="4" borderId="2" applyNumberFormat="0" applyAlignment="0" applyProtection="0"/>
    <xf numFmtId="0" fontId="2" fillId="5" borderId="0" applyNumberFormat="0" applyBorder="0" applyAlignment="0" applyProtection="0"/>
    <xf numFmtId="0" fontId="6"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7" fillId="17" borderId="2" applyNumberFormat="0" applyAlignment="0" applyProtection="0"/>
    <xf numFmtId="0" fontId="2" fillId="18" borderId="4" applyNumberFormat="0" applyFont="0" applyAlignment="0" applyProtection="0"/>
    <xf numFmtId="0" fontId="2" fillId="19" borderId="0" applyNumberFormat="0" applyBorder="0" applyAlignment="0" applyProtection="0"/>
    <xf numFmtId="0" fontId="9" fillId="20" borderId="0" applyNumberFormat="0" applyBorder="0" applyAlignment="0" applyProtection="0"/>
  </cellStyleXfs>
  <cellXfs count="94">
    <xf numFmtId="0" fontId="0" fillId="0" borderId="0" xfId="0"/>
    <xf numFmtId="0" fontId="0" fillId="0" borderId="0" xfId="0" applyAlignment="1">
      <alignment wrapText="1"/>
    </xf>
    <xf numFmtId="0" fontId="1" fillId="0" borderId="0" xfId="0" applyFont="1" applyBorder="1" applyAlignment="1">
      <alignment horizontal="center" wrapText="1"/>
    </xf>
    <xf numFmtId="0" fontId="0" fillId="0" borderId="0" xfId="0" applyBorder="1" applyAlignment="1">
      <alignment wrapText="1"/>
    </xf>
    <xf numFmtId="0" fontId="0" fillId="0" borderId="0" xfId="0" applyBorder="1" applyAlignment="1">
      <alignment horizontal="center" wrapText="1"/>
    </xf>
    <xf numFmtId="0" fontId="4" fillId="3" borderId="1" xfId="2" applyBorder="1" applyAlignment="1">
      <alignment wrapText="1"/>
    </xf>
    <xf numFmtId="0" fontId="4" fillId="3" borderId="1" xfId="2" applyBorder="1" applyAlignment="1">
      <alignment horizontal="center" wrapText="1"/>
    </xf>
    <xf numFmtId="0" fontId="2" fillId="5" borderId="1" xfId="4" applyBorder="1" applyAlignment="1">
      <alignment wrapText="1"/>
    </xf>
    <xf numFmtId="0" fontId="2" fillId="5" borderId="1" xfId="4" applyBorder="1" applyAlignment="1">
      <alignment horizontal="center" wrapText="1"/>
    </xf>
    <xf numFmtId="0" fontId="3" fillId="2" borderId="1" xfId="1" applyBorder="1" applyAlignment="1">
      <alignment wrapText="1"/>
    </xf>
    <xf numFmtId="0" fontId="3" fillId="2" borderId="1" xfId="1" applyBorder="1" applyAlignment="1">
      <alignment horizontal="center" wrapText="1"/>
    </xf>
    <xf numFmtId="0" fontId="3" fillId="6" borderId="1" xfId="1" applyFill="1" applyBorder="1" applyAlignment="1">
      <alignment horizontal="center" wrapText="1"/>
    </xf>
    <xf numFmtId="0" fontId="4" fillId="3" borderId="1" xfId="2" applyBorder="1" applyAlignment="1">
      <alignment horizontal="center" vertical="center" wrapText="1"/>
    </xf>
    <xf numFmtId="0" fontId="2" fillId="5" borderId="1" xfId="4" applyBorder="1" applyAlignment="1">
      <alignment horizontal="center" vertical="center" wrapText="1"/>
    </xf>
    <xf numFmtId="0" fontId="3" fillId="2" borderId="1" xfId="1" applyBorder="1" applyAlignment="1">
      <alignment horizontal="center" vertical="center" wrapText="1"/>
    </xf>
    <xf numFmtId="0" fontId="4" fillId="3" borderId="1" xfId="2"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xf numFmtId="0" fontId="4" fillId="3" borderId="1" xfId="2" applyBorder="1" applyAlignment="1">
      <alignment horizontal="center"/>
    </xf>
    <xf numFmtId="0" fontId="2" fillId="5" borderId="1" xfId="4" applyBorder="1" applyAlignment="1">
      <alignment horizontal="center"/>
    </xf>
    <xf numFmtId="0" fontId="3" fillId="2" borderId="1" xfId="1" applyBorder="1" applyAlignment="1">
      <alignment horizontal="center"/>
    </xf>
    <xf numFmtId="0" fontId="0" fillId="0" borderId="0" xfId="0" applyAlignment="1">
      <alignment horizontal="center" vertical="center" wrapText="1"/>
    </xf>
    <xf numFmtId="0" fontId="4" fillId="3" borderId="1" xfId="2" applyBorder="1" applyAlignment="1">
      <alignment horizontal="center" vertical="center" wrapText="1"/>
    </xf>
    <xf numFmtId="0" fontId="2" fillId="11" borderId="1" xfId="9" applyBorder="1" applyAlignment="1">
      <alignment horizontal="center" vertical="center"/>
    </xf>
    <xf numFmtId="0" fontId="2" fillId="11" borderId="1" xfId="9" applyBorder="1" applyAlignment="1">
      <alignment horizontal="center"/>
    </xf>
    <xf numFmtId="0" fontId="2" fillId="12" borderId="1" xfId="10" applyBorder="1" applyAlignment="1">
      <alignment horizontal="center" vertical="center"/>
    </xf>
    <xf numFmtId="0" fontId="2" fillId="12" borderId="1" xfId="10" applyBorder="1" applyAlignment="1">
      <alignment horizontal="center"/>
    </xf>
    <xf numFmtId="0" fontId="2" fillId="13" borderId="1" xfId="11" applyBorder="1" applyAlignment="1">
      <alignment horizontal="center" vertical="center"/>
    </xf>
    <xf numFmtId="0" fontId="2" fillId="13" borderId="1" xfId="11" applyBorder="1" applyAlignment="1">
      <alignment horizontal="center"/>
    </xf>
    <xf numFmtId="0" fontId="2" fillId="14" borderId="1" xfId="12" applyBorder="1" applyAlignment="1">
      <alignment horizontal="center" vertical="center"/>
    </xf>
    <xf numFmtId="0" fontId="2" fillId="14" borderId="1" xfId="12" applyBorder="1" applyAlignment="1">
      <alignment horizontal="center"/>
    </xf>
    <xf numFmtId="0" fontId="2" fillId="8" borderId="1" xfId="6" applyBorder="1" applyAlignment="1">
      <alignment horizontal="center" vertical="center"/>
    </xf>
    <xf numFmtId="0" fontId="2" fillId="8" borderId="1" xfId="6" applyBorder="1" applyAlignment="1">
      <alignment horizontal="center"/>
    </xf>
    <xf numFmtId="0" fontId="2" fillId="9" borderId="1" xfId="7" applyBorder="1" applyAlignment="1">
      <alignment horizontal="center" vertical="center"/>
    </xf>
    <xf numFmtId="0" fontId="2" fillId="9" borderId="1" xfId="7" applyBorder="1" applyAlignment="1">
      <alignment horizontal="center"/>
    </xf>
    <xf numFmtId="0" fontId="2" fillId="10" borderId="1" xfId="8" applyBorder="1" applyAlignment="1">
      <alignment horizontal="center" vertical="center"/>
    </xf>
    <xf numFmtId="0" fontId="2" fillId="10" borderId="1" xfId="8" applyBorder="1" applyAlignment="1">
      <alignment horizontal="center"/>
    </xf>
    <xf numFmtId="0" fontId="6" fillId="7" borderId="1" xfId="5" applyBorder="1" applyAlignment="1">
      <alignment horizontal="center" vertical="center"/>
    </xf>
    <xf numFmtId="0" fontId="6" fillId="7" borderId="1" xfId="5" applyBorder="1" applyAlignment="1">
      <alignment horizontal="center"/>
    </xf>
    <xf numFmtId="0" fontId="2" fillId="15" borderId="1" xfId="13" applyBorder="1" applyAlignment="1">
      <alignment horizontal="center" vertical="center"/>
    </xf>
    <xf numFmtId="0" fontId="2" fillId="15" borderId="1" xfId="13" applyBorder="1" applyAlignment="1">
      <alignment horizontal="center"/>
    </xf>
    <xf numFmtId="0" fontId="2" fillId="16" borderId="1" xfId="14" applyBorder="1" applyAlignment="1">
      <alignment horizontal="center" vertical="center"/>
    </xf>
    <xf numFmtId="0" fontId="2" fillId="16" borderId="1" xfId="14" applyBorder="1" applyAlignment="1">
      <alignment horizontal="center"/>
    </xf>
    <xf numFmtId="49" fontId="2" fillId="5" borderId="1" xfId="4" applyNumberFormat="1" applyBorder="1" applyAlignment="1">
      <alignment horizontal="center" vertical="center" wrapText="1"/>
    </xf>
    <xf numFmtId="49" fontId="2" fillId="5" borderId="1" xfId="4" applyNumberFormat="1" applyBorder="1" applyAlignment="1">
      <alignment horizontal="center"/>
    </xf>
    <xf numFmtId="49" fontId="0" fillId="0" borderId="0" xfId="0" applyNumberFormat="1" applyAlignment="1"/>
    <xf numFmtId="49" fontId="3" fillId="2" borderId="1" xfId="1" applyNumberFormat="1" applyBorder="1" applyAlignment="1">
      <alignment horizontal="center" vertical="center" wrapText="1"/>
    </xf>
    <xf numFmtId="49" fontId="3" fillId="2" borderId="1" xfId="1" applyNumberFormat="1" applyBorder="1" applyAlignment="1">
      <alignment horizontal="center"/>
    </xf>
    <xf numFmtId="0" fontId="2" fillId="5" borderId="1" xfId="4" applyBorder="1" applyAlignment="1">
      <alignment horizontal="center" vertical="center" wrapText="1"/>
    </xf>
    <xf numFmtId="0" fontId="3" fillId="2" borderId="1" xfId="1" applyBorder="1" applyAlignment="1">
      <alignment horizontal="center" vertical="center" wrapText="1"/>
    </xf>
    <xf numFmtId="0" fontId="4" fillId="3" borderId="1" xfId="2" applyBorder="1" applyAlignment="1">
      <alignment horizontal="center" vertical="center" wrapText="1"/>
    </xf>
    <xf numFmtId="0" fontId="2" fillId="5" borderId="1" xfId="4" applyBorder="1" applyAlignment="1">
      <alignment horizontal="center" vertical="center" wrapText="1"/>
    </xf>
    <xf numFmtId="0" fontId="3" fillId="2" borderId="1" xfId="1" applyBorder="1" applyAlignment="1">
      <alignment horizontal="center" vertical="center" wrapText="1"/>
    </xf>
    <xf numFmtId="0" fontId="7" fillId="17" borderId="2" xfId="15" applyAlignment="1">
      <alignment horizontal="center" vertical="center" wrapText="1"/>
    </xf>
    <xf numFmtId="164" fontId="3" fillId="2" borderId="1" xfId="1" applyNumberFormat="1" applyBorder="1" applyAlignment="1">
      <alignment horizontal="center"/>
    </xf>
    <xf numFmtId="22" fontId="2" fillId="5" borderId="1" xfId="4" applyNumberFormat="1" applyBorder="1" applyAlignment="1">
      <alignment horizontal="center"/>
    </xf>
    <xf numFmtId="165" fontId="3" fillId="2" borderId="1" xfId="1" applyNumberFormat="1" applyBorder="1" applyAlignment="1">
      <alignment horizontal="center"/>
    </xf>
    <xf numFmtId="22" fontId="3" fillId="2" borderId="1" xfId="1" applyNumberFormat="1" applyBorder="1" applyAlignment="1">
      <alignment horizontal="center"/>
    </xf>
    <xf numFmtId="0" fontId="4" fillId="3" borderId="1" xfId="2" applyBorder="1" applyAlignment="1">
      <alignment horizontal="center" vertical="center" wrapText="1"/>
    </xf>
    <xf numFmtId="0" fontId="2" fillId="5" borderId="1" xfId="4" applyBorder="1" applyAlignment="1">
      <alignment horizontal="center" vertical="center" wrapText="1"/>
    </xf>
    <xf numFmtId="0" fontId="3" fillId="2" borderId="1" xfId="1" applyBorder="1" applyAlignment="1">
      <alignment horizontal="center" vertical="center" wrapText="1"/>
    </xf>
    <xf numFmtId="49" fontId="4" fillId="3" borderId="1" xfId="2" applyNumberFormat="1" applyBorder="1" applyAlignment="1">
      <alignment horizontal="center" vertical="center" wrapText="1"/>
    </xf>
    <xf numFmtId="49" fontId="4" fillId="3" borderId="1" xfId="2" applyNumberFormat="1" applyBorder="1" applyAlignment="1">
      <alignment horizontal="center"/>
    </xf>
    <xf numFmtId="18" fontId="3" fillId="2" borderId="1" xfId="1" applyNumberFormat="1" applyBorder="1" applyAlignment="1">
      <alignment horizontal="center"/>
    </xf>
    <xf numFmtId="18" fontId="2" fillId="5" borderId="1" xfId="4" applyNumberFormat="1" applyBorder="1" applyAlignment="1">
      <alignment horizontal="center"/>
    </xf>
    <xf numFmtId="0" fontId="3" fillId="2" borderId="1" xfId="1" applyBorder="1" applyAlignment="1">
      <alignment horizontal="center" vertical="center" wrapText="1"/>
    </xf>
    <xf numFmtId="0" fontId="0" fillId="0" borderId="0" xfId="0" applyAlignment="1">
      <alignment vertical="center"/>
    </xf>
    <xf numFmtId="0" fontId="8" fillId="0" borderId="0" xfId="0" applyFont="1" applyAlignment="1">
      <alignment vertical="center"/>
    </xf>
    <xf numFmtId="0" fontId="2" fillId="19" borderId="1" xfId="17" applyBorder="1" applyAlignment="1">
      <alignment horizontal="center"/>
    </xf>
    <xf numFmtId="0" fontId="3" fillId="2" borderId="1" xfId="1" applyBorder="1" applyAlignment="1">
      <alignment horizontal="left" vertical="center" wrapText="1" indent="1"/>
    </xf>
    <xf numFmtId="0" fontId="3" fillId="2" borderId="1" xfId="1" applyBorder="1" applyAlignment="1">
      <alignment horizontal="left" wrapText="1" indent="1"/>
    </xf>
    <xf numFmtId="0" fontId="0" fillId="0" borderId="0" xfId="0" applyAlignment="1">
      <alignment horizontal="left" wrapText="1" indent="1"/>
    </xf>
    <xf numFmtId="0" fontId="4" fillId="3" borderId="1" xfId="2" applyBorder="1" applyAlignment="1">
      <alignment horizontal="center" vertical="center" wrapText="1"/>
    </xf>
    <xf numFmtId="0" fontId="2" fillId="5" borderId="1" xfId="4" applyBorder="1" applyAlignment="1">
      <alignment horizontal="center" vertical="center" wrapText="1"/>
    </xf>
    <xf numFmtId="0" fontId="3" fillId="2" borderId="1" xfId="1" applyBorder="1" applyAlignment="1">
      <alignment horizontal="center" vertical="center" wrapText="1"/>
    </xf>
    <xf numFmtId="0" fontId="0" fillId="0" borderId="1" xfId="0" applyBorder="1" applyAlignment="1">
      <alignment horizontal="center" vertical="center"/>
    </xf>
    <xf numFmtId="49" fontId="4" fillId="3" borderId="1" xfId="2" applyNumberFormat="1" applyBorder="1" applyAlignment="1">
      <alignment horizontal="center" wrapText="1"/>
    </xf>
    <xf numFmtId="0" fontId="9" fillId="20" borderId="1" xfId="18" applyBorder="1" applyAlignment="1">
      <alignment horizontal="center" wrapText="1"/>
    </xf>
    <xf numFmtId="0" fontId="4" fillId="3" borderId="0" xfId="2" applyBorder="1" applyAlignment="1">
      <alignment horizontal="center" vertical="center"/>
    </xf>
    <xf numFmtId="0" fontId="4" fillId="3" borderId="3" xfId="2" applyBorder="1" applyAlignment="1">
      <alignment horizontal="center" vertical="center"/>
    </xf>
    <xf numFmtId="0" fontId="5" fillId="4" borderId="0" xfId="3" applyBorder="1" applyAlignment="1">
      <alignment horizontal="center"/>
    </xf>
    <xf numFmtId="0" fontId="5" fillId="4" borderId="3" xfId="3" applyBorder="1" applyAlignment="1">
      <alignment horizontal="center"/>
    </xf>
    <xf numFmtId="0" fontId="2" fillId="5" borderId="1" xfId="4" applyBorder="1" applyAlignment="1">
      <alignment horizontal="center" vertical="center"/>
    </xf>
    <xf numFmtId="0" fontId="3" fillId="2" borderId="1" xfId="1" applyBorder="1" applyAlignment="1">
      <alignment horizontal="center" vertical="center"/>
    </xf>
    <xf numFmtId="0" fontId="4" fillId="3" borderId="1" xfId="2" applyBorder="1" applyAlignment="1">
      <alignment horizontal="center" vertical="center" wrapText="1"/>
    </xf>
    <xf numFmtId="0" fontId="5" fillId="4" borderId="1" xfId="3" applyBorder="1" applyAlignment="1">
      <alignment horizontal="center" wrapText="1"/>
    </xf>
    <xf numFmtId="0" fontId="2" fillId="5" borderId="1" xfId="4" applyBorder="1" applyAlignment="1">
      <alignment horizontal="center" vertical="center" wrapText="1"/>
    </xf>
    <xf numFmtId="0" fontId="3" fillId="2" borderId="1" xfId="1" applyBorder="1" applyAlignment="1">
      <alignment horizontal="center" vertical="center" wrapText="1"/>
    </xf>
    <xf numFmtId="0" fontId="5" fillId="4" borderId="3" xfId="3" applyBorder="1" applyAlignment="1">
      <alignment horizontal="left" wrapText="1"/>
    </xf>
    <xf numFmtId="0" fontId="3" fillId="2" borderId="5" xfId="1" applyBorder="1" applyAlignment="1">
      <alignment horizontal="center" vertical="center"/>
    </xf>
    <xf numFmtId="0" fontId="3" fillId="2" borderId="6" xfId="1" applyBorder="1" applyAlignment="1">
      <alignment horizontal="center" vertical="center"/>
    </xf>
    <xf numFmtId="0" fontId="3" fillId="2" borderId="7" xfId="1" applyBorder="1" applyAlignment="1">
      <alignment horizontal="center" vertical="center"/>
    </xf>
    <xf numFmtId="0" fontId="3" fillId="18" borderId="4" xfId="16" applyFont="1" applyAlignment="1">
      <alignment horizontal="center" vertical="center"/>
    </xf>
  </cellXfs>
  <cellStyles count="19">
    <cellStyle name="20% - Accent1" xfId="6" builtinId="30"/>
    <cellStyle name="20% - Accent2" xfId="9" builtinId="34"/>
    <cellStyle name="20% - Accent4" xfId="11" builtinId="42"/>
    <cellStyle name="20% - Accent5" xfId="4" builtinId="46"/>
    <cellStyle name="20% - Accent6" xfId="13" builtinId="50"/>
    <cellStyle name="40% - Accent1" xfId="7" builtinId="31"/>
    <cellStyle name="40% - Accent2" xfId="10" builtinId="35"/>
    <cellStyle name="40% - Accent4" xfId="12" builtinId="43"/>
    <cellStyle name="40% - Accent6" xfId="14" builtinId="51"/>
    <cellStyle name="60% - Accent1" xfId="8" builtinId="32"/>
    <cellStyle name="60% - Accent2" xfId="17" builtinId="36"/>
    <cellStyle name="Accent1" xfId="5" builtinId="29"/>
    <cellStyle name="Bad" xfId="18" builtinId="27"/>
    <cellStyle name="Calculation" xfId="15" builtinId="22"/>
    <cellStyle name="Good" xfId="1" builtinId="26"/>
    <cellStyle name="Input" xfId="3" builtinId="20"/>
    <cellStyle name="Neutral" xfId="2" builtinId="28"/>
    <cellStyle name="Normal" xfId="0" builtinId="0"/>
    <cellStyle name="Note" xfId="16" builtinId="10"/>
  </cellStyles>
  <dxfs count="6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Njuguna, Kamau" id="{AFDFE90E-554D-4FD2-AB18-D69B8BF2F250}" userId="S::KNjuguna@powercor.com.au::c335fcbf-f337-4bf2-b04b-7c30e2992e3c" providerId="AD"/>
  <person displayName="Jarillas, Leonard" id="{74053226-83D1-4907-9012-9BB597DCAD3B}" userId="S::LJarillas@powercor.com.au::e3c80b5b-ce1f-4b4b-a614-fa3a131faa3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3" dT="2024-08-13T04:41:21.54" personId="{AFDFE90E-554D-4FD2-AB18-D69B8BF2F250}" id="{C14E5672-C25B-4EC9-96A8-EC659C99E205}">
    <text>Tertiary Group: No Random Close/No Random Open
Secondary Group: Random Close/Random Open</text>
  </threadedComment>
  <threadedComment ref="A18" dT="2024-08-14T06:15:36.90" personId="{74053226-83D1-4907-9012-9BB597DCAD3B}" id="{259E3FA2-51B0-4343-A480-E332472872FB}">
    <text>First test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5F36F-BDEB-434A-BF3F-AC26692BAEEC}">
  <dimension ref="A1:V56"/>
  <sheetViews>
    <sheetView zoomScaleNormal="100" workbookViewId="0">
      <selection sqref="A1:XFD1048576"/>
    </sheetView>
  </sheetViews>
  <sheetFormatPr defaultRowHeight="15" x14ac:dyDescent="0.25"/>
  <cols>
    <col min="1" max="1" width="11" bestFit="1" customWidth="1"/>
    <col min="2" max="2" width="9.7109375" style="16" bestFit="1" customWidth="1"/>
    <col min="3" max="3" width="9.7109375" style="17" bestFit="1" customWidth="1"/>
    <col min="4" max="4" width="14.42578125" style="18" bestFit="1" customWidth="1"/>
    <col min="5" max="5" width="15.28515625" style="18" bestFit="1" customWidth="1"/>
    <col min="6" max="6" width="16.85546875" style="18" bestFit="1" customWidth="1"/>
    <col min="7" max="7" width="17.5703125" style="18" customWidth="1"/>
    <col min="8" max="8" width="10.7109375" style="18" bestFit="1" customWidth="1"/>
    <col min="9" max="9" width="14.42578125" style="18" bestFit="1" customWidth="1"/>
    <col min="10" max="10" width="9.7109375" style="18" bestFit="1" customWidth="1"/>
    <col min="11" max="11" width="21.5703125" style="18" customWidth="1"/>
    <col min="12" max="12" width="18.85546875" style="46" bestFit="1" customWidth="1"/>
    <col min="13" max="13" width="25.7109375" style="18" bestFit="1" customWidth="1"/>
    <col min="14" max="14" width="25.7109375" style="18" customWidth="1"/>
    <col min="15" max="15" width="29.42578125" style="46" bestFit="1" customWidth="1"/>
    <col min="16" max="16" width="20.140625" style="18" customWidth="1"/>
    <col min="17" max="17" width="9.7109375" style="18" bestFit="1" customWidth="1"/>
    <col min="18" max="18" width="20.140625" style="18" customWidth="1"/>
    <col min="19" max="19" width="11.28515625" style="18" bestFit="1" customWidth="1"/>
    <col min="20" max="20" width="84.28515625" style="1" customWidth="1"/>
    <col min="21" max="21" width="102.140625" style="1" customWidth="1"/>
    <col min="22" max="22" width="83.7109375" style="1" customWidth="1"/>
  </cols>
  <sheetData>
    <row r="1" spans="1:22" x14ac:dyDescent="0.25">
      <c r="A1" s="81" t="s">
        <v>12</v>
      </c>
      <c r="B1" s="81"/>
      <c r="C1" s="81"/>
      <c r="D1" s="81"/>
      <c r="E1" s="81"/>
      <c r="F1" s="81"/>
      <c r="G1" s="81"/>
      <c r="H1" s="81"/>
      <c r="I1" s="81"/>
      <c r="J1" s="81"/>
      <c r="K1" s="81"/>
      <c r="L1" s="81"/>
      <c r="M1" s="81"/>
      <c r="N1" s="81"/>
      <c r="O1" s="81"/>
      <c r="P1" s="81"/>
      <c r="Q1" s="81"/>
      <c r="R1" s="81"/>
      <c r="S1" s="81"/>
      <c r="T1" s="82"/>
    </row>
    <row r="2" spans="1:22" x14ac:dyDescent="0.25">
      <c r="A2" s="79" t="s">
        <v>45</v>
      </c>
      <c r="B2" s="79"/>
      <c r="C2" s="79"/>
      <c r="D2" s="79"/>
      <c r="E2" s="79"/>
      <c r="F2" s="79"/>
      <c r="G2" s="80"/>
      <c r="H2" s="83" t="s">
        <v>5</v>
      </c>
      <c r="I2" s="83"/>
      <c r="J2" s="83"/>
      <c r="K2" s="83"/>
      <c r="L2" s="83"/>
      <c r="M2" s="84" t="s">
        <v>9</v>
      </c>
      <c r="N2" s="84"/>
      <c r="O2" s="84"/>
      <c r="P2" s="84"/>
      <c r="Q2" s="84"/>
      <c r="R2" s="84"/>
      <c r="S2" s="84"/>
      <c r="T2" s="84"/>
    </row>
    <row r="3" spans="1:22" s="22" customFormat="1" ht="45" x14ac:dyDescent="0.25">
      <c r="A3" s="23" t="s">
        <v>53</v>
      </c>
      <c r="B3" s="15" t="s">
        <v>29</v>
      </c>
      <c r="C3" s="15" t="s">
        <v>28</v>
      </c>
      <c r="D3" s="12" t="s">
        <v>35</v>
      </c>
      <c r="E3" s="12" t="s">
        <v>27</v>
      </c>
      <c r="F3" s="12" t="s">
        <v>36</v>
      </c>
      <c r="G3" s="12" t="s">
        <v>37</v>
      </c>
      <c r="H3" s="13" t="s">
        <v>39</v>
      </c>
      <c r="I3" s="13" t="s">
        <v>38</v>
      </c>
      <c r="J3" s="13" t="s">
        <v>44</v>
      </c>
      <c r="K3" s="49" t="s">
        <v>40</v>
      </c>
      <c r="L3" s="44" t="s">
        <v>40</v>
      </c>
      <c r="M3" s="14" t="s">
        <v>39</v>
      </c>
      <c r="N3" s="47" t="s">
        <v>41</v>
      </c>
      <c r="O3" s="47" t="s">
        <v>41</v>
      </c>
      <c r="P3" s="54" t="s">
        <v>38</v>
      </c>
      <c r="Q3" s="54" t="s">
        <v>44</v>
      </c>
      <c r="R3" s="54" t="s">
        <v>100</v>
      </c>
      <c r="S3" s="54" t="s">
        <v>42</v>
      </c>
      <c r="T3" s="50" t="s">
        <v>43</v>
      </c>
      <c r="U3" s="22" t="s">
        <v>97</v>
      </c>
      <c r="V3" s="22" t="s">
        <v>105</v>
      </c>
    </row>
    <row r="4" spans="1:22" x14ac:dyDescent="0.25">
      <c r="A4" s="24" t="s">
        <v>60</v>
      </c>
      <c r="B4" s="24" t="s">
        <v>30</v>
      </c>
      <c r="C4" s="25" t="s">
        <v>24</v>
      </c>
      <c r="D4" s="6" t="s">
        <v>1</v>
      </c>
      <c r="E4" s="19">
        <v>480</v>
      </c>
      <c r="F4" s="19">
        <v>30</v>
      </c>
      <c r="G4" s="19">
        <v>0</v>
      </c>
      <c r="H4" s="20" t="s">
        <v>16</v>
      </c>
      <c r="I4" s="20" t="s">
        <v>0</v>
      </c>
      <c r="J4" s="20">
        <v>20</v>
      </c>
      <c r="K4" s="56">
        <v>45484.680555555555</v>
      </c>
      <c r="L4" s="45" t="s">
        <v>65</v>
      </c>
      <c r="M4" s="21" t="s">
        <v>16</v>
      </c>
      <c r="N4" s="56">
        <v>45484.695833333331</v>
      </c>
      <c r="O4" s="55" t="s">
        <v>71</v>
      </c>
      <c r="P4" s="57">
        <f>N4-K4</f>
        <v>1.5277777776645962E-2</v>
      </c>
      <c r="Q4" s="21">
        <v>20</v>
      </c>
      <c r="R4" s="57" t="b">
        <f>IF(AND(I4="YES",P4&gt;0),TRUE,IF(AND(I4="NO",P4=0),FALSE,TRUE))</f>
        <v>1</v>
      </c>
      <c r="S4" s="21" t="s">
        <v>67</v>
      </c>
      <c r="T4" s="10"/>
    </row>
    <row r="5" spans="1:22" ht="15.75" customHeight="1" x14ac:dyDescent="0.25">
      <c r="A5" s="24" t="s">
        <v>60</v>
      </c>
      <c r="B5" s="24" t="s">
        <v>30</v>
      </c>
      <c r="C5" s="25" t="s">
        <v>24</v>
      </c>
      <c r="D5" s="6" t="s">
        <v>1</v>
      </c>
      <c r="E5" s="19">
        <v>480</v>
      </c>
      <c r="F5" s="19">
        <v>30</v>
      </c>
      <c r="G5" s="19">
        <v>0</v>
      </c>
      <c r="H5" s="20" t="s">
        <v>16</v>
      </c>
      <c r="I5" s="20" t="s">
        <v>2</v>
      </c>
      <c r="J5" s="20">
        <v>20</v>
      </c>
      <c r="K5" s="56">
        <v>45485.506944444445</v>
      </c>
      <c r="L5" s="45" t="s">
        <v>73</v>
      </c>
      <c r="M5" s="21" t="s">
        <v>16</v>
      </c>
      <c r="N5" s="58">
        <v>45485.511111111111</v>
      </c>
      <c r="O5" s="48" t="s">
        <v>75</v>
      </c>
      <c r="P5" s="57">
        <f t="shared" ref="P5:P11" si="0">N5-K5</f>
        <v>4.166666665696539E-3</v>
      </c>
      <c r="Q5" s="21">
        <v>20</v>
      </c>
      <c r="R5" s="57" t="b">
        <f t="shared" ref="R5:R11" si="1">IF(AND(I5="YES",P5&gt;0),TRUE,IF(AND(I5="NO",P5=0),TRUE,FALSE))</f>
        <v>0</v>
      </c>
      <c r="S5" s="21" t="s">
        <v>68</v>
      </c>
      <c r="T5" s="10" t="s">
        <v>96</v>
      </c>
      <c r="U5" s="1" t="s">
        <v>99</v>
      </c>
      <c r="V5" s="1" t="s">
        <v>106</v>
      </c>
    </row>
    <row r="6" spans="1:22" ht="30" x14ac:dyDescent="0.25">
      <c r="A6" s="24" t="s">
        <v>60</v>
      </c>
      <c r="B6" s="24" t="s">
        <v>30</v>
      </c>
      <c r="C6" s="25" t="s">
        <v>24</v>
      </c>
      <c r="D6" s="6" t="s">
        <v>1</v>
      </c>
      <c r="E6" s="19">
        <v>480</v>
      </c>
      <c r="F6" s="19">
        <v>30</v>
      </c>
      <c r="G6" s="19">
        <v>0</v>
      </c>
      <c r="H6" s="20" t="s">
        <v>21</v>
      </c>
      <c r="I6" s="20" t="s">
        <v>0</v>
      </c>
      <c r="J6" s="20">
        <v>20</v>
      </c>
      <c r="K6" s="56">
        <v>45485.638888888891</v>
      </c>
      <c r="L6" s="45" t="s">
        <v>74</v>
      </c>
      <c r="M6" s="21" t="s">
        <v>21</v>
      </c>
      <c r="N6" s="58">
        <v>45485.638888888891</v>
      </c>
      <c r="O6" s="48" t="s">
        <v>74</v>
      </c>
      <c r="P6" s="57">
        <f t="shared" si="0"/>
        <v>0</v>
      </c>
      <c r="Q6" s="21">
        <v>49</v>
      </c>
      <c r="R6" s="57" t="b">
        <f t="shared" si="1"/>
        <v>0</v>
      </c>
      <c r="S6" s="21" t="s">
        <v>68</v>
      </c>
      <c r="T6" s="10" t="s">
        <v>82</v>
      </c>
      <c r="U6" s="1" t="s">
        <v>99</v>
      </c>
      <c r="V6" s="1" t="s">
        <v>106</v>
      </c>
    </row>
    <row r="7" spans="1:22" ht="30" x14ac:dyDescent="0.25">
      <c r="A7" s="24" t="s">
        <v>60</v>
      </c>
      <c r="B7" s="24" t="s">
        <v>30</v>
      </c>
      <c r="C7" s="25" t="s">
        <v>24</v>
      </c>
      <c r="D7" s="6" t="s">
        <v>1</v>
      </c>
      <c r="E7" s="19">
        <v>480</v>
      </c>
      <c r="F7" s="19">
        <v>30</v>
      </c>
      <c r="G7" s="19">
        <v>0</v>
      </c>
      <c r="H7" s="20" t="s">
        <v>21</v>
      </c>
      <c r="I7" s="20" t="s">
        <v>2</v>
      </c>
      <c r="J7" s="20">
        <v>20</v>
      </c>
      <c r="K7" s="56">
        <v>45485.711805555555</v>
      </c>
      <c r="L7" s="45" t="s">
        <v>81</v>
      </c>
      <c r="M7" s="21" t="s">
        <v>21</v>
      </c>
      <c r="N7" s="58">
        <v>45485.711805555555</v>
      </c>
      <c r="O7" s="48" t="s">
        <v>81</v>
      </c>
      <c r="P7" s="57">
        <f t="shared" si="0"/>
        <v>0</v>
      </c>
      <c r="Q7" s="21">
        <v>27</v>
      </c>
      <c r="R7" s="57" t="b">
        <f t="shared" si="1"/>
        <v>1</v>
      </c>
      <c r="S7" s="21" t="s">
        <v>68</v>
      </c>
      <c r="T7" s="10" t="s">
        <v>84</v>
      </c>
      <c r="U7" s="1" t="s">
        <v>99</v>
      </c>
      <c r="V7" s="1" t="s">
        <v>106</v>
      </c>
    </row>
    <row r="8" spans="1:22" x14ac:dyDescent="0.25">
      <c r="A8" s="26" t="s">
        <v>61</v>
      </c>
      <c r="B8" s="26" t="s">
        <v>30</v>
      </c>
      <c r="C8" s="27" t="s">
        <v>31</v>
      </c>
      <c r="D8" s="6" t="s">
        <v>1</v>
      </c>
      <c r="E8" s="19">
        <v>480</v>
      </c>
      <c r="F8" s="19">
        <v>30</v>
      </c>
      <c r="G8" s="19">
        <v>0</v>
      </c>
      <c r="H8" s="20" t="s">
        <v>16</v>
      </c>
      <c r="I8" s="20" t="s">
        <v>0</v>
      </c>
      <c r="J8" s="20">
        <v>20</v>
      </c>
      <c r="K8" s="56">
        <v>45484.680555555555</v>
      </c>
      <c r="L8" s="45" t="s">
        <v>65</v>
      </c>
      <c r="M8" s="21" t="s">
        <v>16</v>
      </c>
      <c r="N8" s="58">
        <v>45484.6875</v>
      </c>
      <c r="O8" s="48" t="s">
        <v>66</v>
      </c>
      <c r="P8" s="57">
        <f t="shared" si="0"/>
        <v>6.9444444452528842E-3</v>
      </c>
      <c r="Q8" s="21">
        <v>20</v>
      </c>
      <c r="R8" s="57" t="b">
        <f t="shared" si="1"/>
        <v>1</v>
      </c>
      <c r="S8" s="21" t="s">
        <v>67</v>
      </c>
      <c r="T8" s="10"/>
    </row>
    <row r="9" spans="1:22" ht="30" x14ac:dyDescent="0.25">
      <c r="A9" s="26" t="s">
        <v>61</v>
      </c>
      <c r="B9" s="26" t="s">
        <v>30</v>
      </c>
      <c r="C9" s="27" t="s">
        <v>31</v>
      </c>
      <c r="D9" s="6" t="s">
        <v>1</v>
      </c>
      <c r="E9" s="19">
        <v>480</v>
      </c>
      <c r="F9" s="19">
        <v>30</v>
      </c>
      <c r="G9" s="19">
        <v>0</v>
      </c>
      <c r="H9" s="20" t="s">
        <v>16</v>
      </c>
      <c r="I9" s="20" t="s">
        <v>2</v>
      </c>
      <c r="J9" s="20">
        <v>20</v>
      </c>
      <c r="K9" s="56">
        <v>45485.506944444445</v>
      </c>
      <c r="L9" s="45" t="s">
        <v>73</v>
      </c>
      <c r="M9" s="21" t="s">
        <v>16</v>
      </c>
      <c r="N9" s="58">
        <v>45485.523611111108</v>
      </c>
      <c r="O9" s="48" t="s">
        <v>77</v>
      </c>
      <c r="P9" s="57">
        <f t="shared" si="0"/>
        <v>1.6666666662786156E-2</v>
      </c>
      <c r="Q9" s="21">
        <v>20</v>
      </c>
      <c r="R9" s="57" t="b">
        <f t="shared" si="1"/>
        <v>0</v>
      </c>
      <c r="S9" s="21" t="s">
        <v>68</v>
      </c>
      <c r="T9" s="10" t="s">
        <v>76</v>
      </c>
      <c r="U9" s="1" t="s">
        <v>99</v>
      </c>
      <c r="V9" s="1" t="s">
        <v>106</v>
      </c>
    </row>
    <row r="10" spans="1:22" ht="30" x14ac:dyDescent="0.25">
      <c r="A10" s="26" t="s">
        <v>61</v>
      </c>
      <c r="B10" s="26" t="s">
        <v>30</v>
      </c>
      <c r="C10" s="27" t="s">
        <v>31</v>
      </c>
      <c r="D10" s="6" t="s">
        <v>1</v>
      </c>
      <c r="E10" s="19">
        <v>480</v>
      </c>
      <c r="F10" s="19">
        <v>30</v>
      </c>
      <c r="G10" s="19">
        <v>0</v>
      </c>
      <c r="H10" s="20" t="s">
        <v>21</v>
      </c>
      <c r="I10" s="20" t="s">
        <v>0</v>
      </c>
      <c r="J10" s="20">
        <v>20</v>
      </c>
      <c r="K10" s="56">
        <v>45485.638888888891</v>
      </c>
      <c r="L10" s="45" t="s">
        <v>74</v>
      </c>
      <c r="M10" s="21" t="s">
        <v>21</v>
      </c>
      <c r="N10" s="58">
        <v>45485.638888888891</v>
      </c>
      <c r="O10" s="48" t="s">
        <v>74</v>
      </c>
      <c r="P10" s="57">
        <f t="shared" si="0"/>
        <v>0</v>
      </c>
      <c r="Q10" s="21">
        <v>24</v>
      </c>
      <c r="R10" s="57" t="b">
        <f t="shared" si="1"/>
        <v>0</v>
      </c>
      <c r="S10" s="21" t="s">
        <v>68</v>
      </c>
      <c r="T10" s="10" t="s">
        <v>83</v>
      </c>
      <c r="U10" s="1" t="s">
        <v>99</v>
      </c>
      <c r="V10" s="1" t="s">
        <v>106</v>
      </c>
    </row>
    <row r="11" spans="1:22" ht="30" x14ac:dyDescent="0.25">
      <c r="A11" s="26" t="s">
        <v>61</v>
      </c>
      <c r="B11" s="26" t="s">
        <v>30</v>
      </c>
      <c r="C11" s="27" t="s">
        <v>31</v>
      </c>
      <c r="D11" s="6" t="s">
        <v>1</v>
      </c>
      <c r="E11" s="19">
        <v>480</v>
      </c>
      <c r="F11" s="19">
        <v>30</v>
      </c>
      <c r="G11" s="19">
        <v>0</v>
      </c>
      <c r="H11" s="20" t="s">
        <v>21</v>
      </c>
      <c r="I11" s="20" t="s">
        <v>2</v>
      </c>
      <c r="J11" s="20">
        <v>20</v>
      </c>
      <c r="K11" s="56">
        <v>45485.711805555555</v>
      </c>
      <c r="L11" s="45" t="s">
        <v>81</v>
      </c>
      <c r="M11" s="21" t="s">
        <v>21</v>
      </c>
      <c r="N11" s="58">
        <v>45485.711805555555</v>
      </c>
      <c r="O11" s="48" t="s">
        <v>81</v>
      </c>
      <c r="P11" s="57">
        <f t="shared" si="0"/>
        <v>0</v>
      </c>
      <c r="Q11" s="21">
        <v>44</v>
      </c>
      <c r="R11" s="57" t="b">
        <f t="shared" si="1"/>
        <v>1</v>
      </c>
      <c r="S11" s="21" t="s">
        <v>68</v>
      </c>
      <c r="T11" s="10" t="s">
        <v>85</v>
      </c>
      <c r="U11" s="1" t="s">
        <v>99</v>
      </c>
      <c r="V11" s="1" t="s">
        <v>106</v>
      </c>
    </row>
    <row r="13" spans="1:22" x14ac:dyDescent="0.25">
      <c r="A13" s="81" t="s">
        <v>51</v>
      </c>
      <c r="B13" s="81"/>
      <c r="C13" s="81"/>
      <c r="D13" s="81"/>
      <c r="E13" s="81"/>
      <c r="F13" s="81"/>
      <c r="G13" s="81"/>
      <c r="H13" s="81"/>
      <c r="I13" s="81"/>
      <c r="J13" s="81"/>
      <c r="K13" s="81"/>
      <c r="L13" s="81"/>
      <c r="M13" s="81"/>
      <c r="N13" s="81"/>
      <c r="O13" s="81"/>
      <c r="P13" s="81"/>
      <c r="Q13" s="81"/>
      <c r="R13" s="81"/>
      <c r="S13" s="81"/>
      <c r="T13" s="82"/>
    </row>
    <row r="14" spans="1:22" x14ac:dyDescent="0.25">
      <c r="A14" s="79" t="s">
        <v>45</v>
      </c>
      <c r="B14" s="79"/>
      <c r="C14" s="79"/>
      <c r="D14" s="79"/>
      <c r="E14" s="79"/>
      <c r="F14" s="79"/>
      <c r="G14" s="80"/>
      <c r="H14" s="83" t="s">
        <v>5</v>
      </c>
      <c r="I14" s="83"/>
      <c r="J14" s="83"/>
      <c r="K14" s="83"/>
      <c r="L14" s="83"/>
      <c r="M14" s="84" t="s">
        <v>9</v>
      </c>
      <c r="N14" s="84"/>
      <c r="O14" s="84"/>
      <c r="P14" s="84"/>
      <c r="Q14" s="84"/>
      <c r="R14" s="84"/>
      <c r="S14" s="84"/>
      <c r="T14" s="84"/>
    </row>
    <row r="15" spans="1:22" ht="45" x14ac:dyDescent="0.25">
      <c r="A15" s="23" t="s">
        <v>53</v>
      </c>
      <c r="B15" s="15" t="s">
        <v>29</v>
      </c>
      <c r="C15" s="15" t="s">
        <v>28</v>
      </c>
      <c r="D15" s="12" t="s">
        <v>35</v>
      </c>
      <c r="E15" s="12" t="s">
        <v>27</v>
      </c>
      <c r="F15" s="12" t="s">
        <v>36</v>
      </c>
      <c r="G15" s="12" t="s">
        <v>37</v>
      </c>
      <c r="H15" s="13" t="s">
        <v>39</v>
      </c>
      <c r="I15" s="13" t="s">
        <v>38</v>
      </c>
      <c r="J15" s="13" t="s">
        <v>44</v>
      </c>
      <c r="K15" s="49"/>
      <c r="L15" s="44" t="s">
        <v>40</v>
      </c>
      <c r="M15" s="14" t="s">
        <v>39</v>
      </c>
      <c r="N15" s="50"/>
      <c r="O15" s="47" t="s">
        <v>41</v>
      </c>
      <c r="P15" s="54" t="s">
        <v>95</v>
      </c>
      <c r="Q15" s="54" t="s">
        <v>44</v>
      </c>
      <c r="R15" s="54" t="s">
        <v>95</v>
      </c>
      <c r="S15" s="54" t="s">
        <v>42</v>
      </c>
      <c r="T15" s="50" t="s">
        <v>43</v>
      </c>
    </row>
    <row r="16" spans="1:22" ht="30" x14ac:dyDescent="0.25">
      <c r="A16" s="28" t="s">
        <v>63</v>
      </c>
      <c r="B16" s="28" t="s">
        <v>32</v>
      </c>
      <c r="C16" s="29" t="s">
        <v>24</v>
      </c>
      <c r="D16" s="6">
        <v>0</v>
      </c>
      <c r="E16" s="19">
        <v>480</v>
      </c>
      <c r="F16" s="19">
        <v>90</v>
      </c>
      <c r="G16" s="19">
        <v>0</v>
      </c>
      <c r="H16" s="20" t="s">
        <v>16</v>
      </c>
      <c r="I16" s="20" t="s">
        <v>0</v>
      </c>
      <c r="J16" s="20">
        <v>20</v>
      </c>
      <c r="K16" s="56">
        <v>45484.680555555555</v>
      </c>
      <c r="L16" s="45" t="s">
        <v>65</v>
      </c>
      <c r="M16" s="21" t="s">
        <v>16</v>
      </c>
      <c r="N16" s="58">
        <v>45484.680555555555</v>
      </c>
      <c r="O16" s="48" t="s">
        <v>65</v>
      </c>
      <c r="P16" s="57">
        <f>N16-K16</f>
        <v>0</v>
      </c>
      <c r="Q16" s="21">
        <v>20</v>
      </c>
      <c r="R16" s="57" t="b">
        <f t="shared" ref="R16:R23" si="2">IF(AND(I16="YES",P16&gt;0),TRUE,IF(AND(I16="NO",P16=0),TRUE,FALSE))</f>
        <v>0</v>
      </c>
      <c r="S16" s="21" t="s">
        <v>68</v>
      </c>
      <c r="T16" s="10" t="s">
        <v>72</v>
      </c>
      <c r="U16" s="1" t="s">
        <v>98</v>
      </c>
      <c r="V16" s="1" t="s">
        <v>107</v>
      </c>
    </row>
    <row r="17" spans="1:22" x14ac:dyDescent="0.25">
      <c r="A17" s="28" t="s">
        <v>63</v>
      </c>
      <c r="B17" s="28" t="s">
        <v>32</v>
      </c>
      <c r="C17" s="29" t="s">
        <v>24</v>
      </c>
      <c r="D17" s="6">
        <v>0</v>
      </c>
      <c r="E17" s="19">
        <v>480</v>
      </c>
      <c r="F17" s="19">
        <v>90</v>
      </c>
      <c r="G17" s="19">
        <v>0</v>
      </c>
      <c r="H17" s="20" t="s">
        <v>16</v>
      </c>
      <c r="I17" s="20" t="s">
        <v>2</v>
      </c>
      <c r="J17" s="20">
        <v>20</v>
      </c>
      <c r="K17" s="56">
        <v>45485.506944444445</v>
      </c>
      <c r="L17" s="45" t="s">
        <v>73</v>
      </c>
      <c r="M17" s="21" t="s">
        <v>16</v>
      </c>
      <c r="N17" s="58">
        <v>45485.506944444445</v>
      </c>
      <c r="O17" s="48" t="s">
        <v>73</v>
      </c>
      <c r="P17" s="57">
        <f t="shared" ref="P17:P22" si="3">N17-K17</f>
        <v>0</v>
      </c>
      <c r="Q17" s="21">
        <v>20</v>
      </c>
      <c r="R17" s="57" t="b">
        <f t="shared" si="2"/>
        <v>1</v>
      </c>
      <c r="S17" s="21" t="s">
        <v>67</v>
      </c>
      <c r="T17" s="10"/>
    </row>
    <row r="18" spans="1:22" ht="30" x14ac:dyDescent="0.25">
      <c r="A18" s="28" t="s">
        <v>63</v>
      </c>
      <c r="B18" s="28" t="s">
        <v>32</v>
      </c>
      <c r="C18" s="29" t="s">
        <v>24</v>
      </c>
      <c r="D18" s="6">
        <v>0</v>
      </c>
      <c r="E18" s="19">
        <v>480</v>
      </c>
      <c r="F18" s="19">
        <v>90</v>
      </c>
      <c r="G18" s="19">
        <v>0</v>
      </c>
      <c r="H18" s="20" t="s">
        <v>21</v>
      </c>
      <c r="I18" s="20" t="s">
        <v>0</v>
      </c>
      <c r="J18" s="20">
        <v>20</v>
      </c>
      <c r="K18" s="56">
        <v>45485.638888888891</v>
      </c>
      <c r="L18" s="45" t="s">
        <v>74</v>
      </c>
      <c r="M18" s="21" t="s">
        <v>21</v>
      </c>
      <c r="N18" s="58">
        <v>45485.638888888891</v>
      </c>
      <c r="O18" s="48" t="s">
        <v>74</v>
      </c>
      <c r="P18" s="57">
        <f t="shared" si="3"/>
        <v>0</v>
      </c>
      <c r="Q18" s="21">
        <v>20</v>
      </c>
      <c r="R18" s="57" t="b">
        <f t="shared" si="2"/>
        <v>0</v>
      </c>
      <c r="S18" s="21" t="s">
        <v>68</v>
      </c>
      <c r="T18" s="10" t="s">
        <v>78</v>
      </c>
      <c r="U18" s="1" t="s">
        <v>98</v>
      </c>
      <c r="V18" s="1" t="s">
        <v>107</v>
      </c>
    </row>
    <row r="19" spans="1:22" x14ac:dyDescent="0.25">
      <c r="A19" s="28" t="s">
        <v>63</v>
      </c>
      <c r="B19" s="28" t="s">
        <v>32</v>
      </c>
      <c r="C19" s="29" t="s">
        <v>24</v>
      </c>
      <c r="D19" s="6">
        <v>0</v>
      </c>
      <c r="E19" s="19">
        <v>480</v>
      </c>
      <c r="F19" s="19">
        <v>90</v>
      </c>
      <c r="G19" s="19">
        <v>0</v>
      </c>
      <c r="H19" s="20" t="s">
        <v>21</v>
      </c>
      <c r="I19" s="20" t="s">
        <v>2</v>
      </c>
      <c r="J19" s="20">
        <v>20</v>
      </c>
      <c r="K19" s="56">
        <v>45485.711805555555</v>
      </c>
      <c r="L19" s="45" t="s">
        <v>81</v>
      </c>
      <c r="M19" s="21" t="s">
        <v>21</v>
      </c>
      <c r="N19" s="58">
        <v>45485.711805555555</v>
      </c>
      <c r="O19" s="48" t="s">
        <v>81</v>
      </c>
      <c r="P19" s="57">
        <f t="shared" si="3"/>
        <v>0</v>
      </c>
      <c r="Q19" s="21">
        <v>20</v>
      </c>
      <c r="R19" s="57" t="b">
        <f t="shared" si="2"/>
        <v>1</v>
      </c>
      <c r="S19" s="21" t="s">
        <v>67</v>
      </c>
      <c r="T19" s="10"/>
    </row>
    <row r="20" spans="1:22" ht="30" x14ac:dyDescent="0.25">
      <c r="A20" s="30" t="s">
        <v>62</v>
      </c>
      <c r="B20" s="30" t="s">
        <v>32</v>
      </c>
      <c r="C20" s="31" t="s">
        <v>31</v>
      </c>
      <c r="D20" s="6">
        <v>0</v>
      </c>
      <c r="E20" s="19">
        <v>480</v>
      </c>
      <c r="F20" s="19">
        <v>90</v>
      </c>
      <c r="G20" s="19">
        <v>0</v>
      </c>
      <c r="H20" s="20" t="s">
        <v>16</v>
      </c>
      <c r="I20" s="20" t="s">
        <v>0</v>
      </c>
      <c r="J20" s="20">
        <v>20</v>
      </c>
      <c r="K20" s="56">
        <v>45484.680555555555</v>
      </c>
      <c r="L20" s="45" t="s">
        <v>65</v>
      </c>
      <c r="M20" s="21" t="s">
        <v>16</v>
      </c>
      <c r="N20" s="58">
        <v>45484.680555555555</v>
      </c>
      <c r="O20" s="48" t="s">
        <v>65</v>
      </c>
      <c r="P20" s="57">
        <f t="shared" si="3"/>
        <v>0</v>
      </c>
      <c r="Q20" s="21">
        <v>20</v>
      </c>
      <c r="R20" s="57" t="b">
        <f t="shared" si="2"/>
        <v>0</v>
      </c>
      <c r="S20" s="21" t="s">
        <v>68</v>
      </c>
      <c r="T20" s="10" t="s">
        <v>72</v>
      </c>
      <c r="U20" s="1" t="s">
        <v>98</v>
      </c>
      <c r="V20" s="1" t="s">
        <v>107</v>
      </c>
    </row>
    <row r="21" spans="1:22" x14ac:dyDescent="0.25">
      <c r="A21" s="30" t="s">
        <v>62</v>
      </c>
      <c r="B21" s="30" t="s">
        <v>32</v>
      </c>
      <c r="C21" s="31" t="s">
        <v>31</v>
      </c>
      <c r="D21" s="6">
        <v>0</v>
      </c>
      <c r="E21" s="19">
        <v>480</v>
      </c>
      <c r="F21" s="19">
        <v>90</v>
      </c>
      <c r="G21" s="19">
        <v>0</v>
      </c>
      <c r="H21" s="20" t="s">
        <v>16</v>
      </c>
      <c r="I21" s="20" t="s">
        <v>2</v>
      </c>
      <c r="J21" s="20">
        <v>20</v>
      </c>
      <c r="K21" s="56">
        <v>45485.506944444445</v>
      </c>
      <c r="L21" s="45" t="s">
        <v>73</v>
      </c>
      <c r="M21" s="21" t="s">
        <v>16</v>
      </c>
      <c r="N21" s="58">
        <v>45485.506944444445</v>
      </c>
      <c r="O21" s="48" t="s">
        <v>73</v>
      </c>
      <c r="P21" s="57">
        <f t="shared" si="3"/>
        <v>0</v>
      </c>
      <c r="Q21" s="21">
        <v>20</v>
      </c>
      <c r="R21" s="57" t="b">
        <f t="shared" si="2"/>
        <v>1</v>
      </c>
      <c r="S21" s="21" t="s">
        <v>67</v>
      </c>
      <c r="T21" s="10"/>
    </row>
    <row r="22" spans="1:22" ht="30" x14ac:dyDescent="0.25">
      <c r="A22" s="30" t="s">
        <v>62</v>
      </c>
      <c r="B22" s="30" t="s">
        <v>32</v>
      </c>
      <c r="C22" s="31" t="s">
        <v>31</v>
      </c>
      <c r="D22" s="6">
        <v>0</v>
      </c>
      <c r="E22" s="19">
        <v>480</v>
      </c>
      <c r="F22" s="19">
        <v>90</v>
      </c>
      <c r="G22" s="19">
        <v>0</v>
      </c>
      <c r="H22" s="20" t="s">
        <v>21</v>
      </c>
      <c r="I22" s="20" t="s">
        <v>0</v>
      </c>
      <c r="J22" s="20">
        <v>20</v>
      </c>
      <c r="K22" s="56">
        <v>45485.638888888891</v>
      </c>
      <c r="L22" s="45" t="s">
        <v>74</v>
      </c>
      <c r="M22" s="21" t="s">
        <v>21</v>
      </c>
      <c r="N22" s="58">
        <v>45485.638888888891</v>
      </c>
      <c r="O22" s="48" t="s">
        <v>74</v>
      </c>
      <c r="P22" s="57">
        <f t="shared" si="3"/>
        <v>0</v>
      </c>
      <c r="Q22" s="21">
        <v>40</v>
      </c>
      <c r="R22" s="57" t="b">
        <f t="shared" si="2"/>
        <v>0</v>
      </c>
      <c r="S22" s="21" t="s">
        <v>68</v>
      </c>
      <c r="T22" s="10" t="s">
        <v>86</v>
      </c>
      <c r="U22" s="1" t="s">
        <v>101</v>
      </c>
      <c r="V22" s="1" t="s">
        <v>108</v>
      </c>
    </row>
    <row r="23" spans="1:22" ht="30" x14ac:dyDescent="0.25">
      <c r="A23" s="30" t="s">
        <v>62</v>
      </c>
      <c r="B23" s="30" t="s">
        <v>32</v>
      </c>
      <c r="C23" s="31" t="s">
        <v>31</v>
      </c>
      <c r="D23" s="6">
        <v>0</v>
      </c>
      <c r="E23" s="19">
        <v>480</v>
      </c>
      <c r="F23" s="19">
        <v>90</v>
      </c>
      <c r="G23" s="19">
        <v>0</v>
      </c>
      <c r="H23" s="20" t="s">
        <v>21</v>
      </c>
      <c r="I23" s="20" t="s">
        <v>2</v>
      </c>
      <c r="J23" s="20">
        <v>20</v>
      </c>
      <c r="K23" s="56">
        <v>45485.711805555555</v>
      </c>
      <c r="L23" s="45" t="s">
        <v>81</v>
      </c>
      <c r="M23" s="21" t="s">
        <v>21</v>
      </c>
      <c r="N23" s="58">
        <v>45485.711805555555</v>
      </c>
      <c r="O23" s="48" t="s">
        <v>81</v>
      </c>
      <c r="P23" s="57">
        <f>N23-K23</f>
        <v>0</v>
      </c>
      <c r="Q23" s="21">
        <v>52</v>
      </c>
      <c r="R23" s="57" t="b">
        <f t="shared" si="2"/>
        <v>1</v>
      </c>
      <c r="S23" s="21" t="s">
        <v>68</v>
      </c>
      <c r="T23" s="10" t="s">
        <v>87</v>
      </c>
      <c r="U23" s="1" t="s">
        <v>101</v>
      </c>
      <c r="V23" s="1" t="s">
        <v>108</v>
      </c>
    </row>
    <row r="26" spans="1:22" x14ac:dyDescent="0.25">
      <c r="A26" s="81" t="s">
        <v>52</v>
      </c>
      <c r="B26" s="81"/>
      <c r="C26" s="81"/>
      <c r="D26" s="81"/>
      <c r="E26" s="81"/>
      <c r="F26" s="81"/>
      <c r="G26" s="81"/>
      <c r="H26" s="81"/>
      <c r="I26" s="81"/>
      <c r="J26" s="81"/>
      <c r="K26" s="81"/>
      <c r="L26" s="81"/>
      <c r="M26" s="81"/>
      <c r="N26" s="81"/>
      <c r="O26" s="81"/>
      <c r="P26" s="81"/>
      <c r="Q26" s="81"/>
      <c r="R26" s="81"/>
      <c r="S26" s="81"/>
      <c r="T26" s="82"/>
    </row>
    <row r="27" spans="1:22" x14ac:dyDescent="0.25">
      <c r="A27" s="79" t="s">
        <v>45</v>
      </c>
      <c r="B27" s="79"/>
      <c r="C27" s="79"/>
      <c r="D27" s="79"/>
      <c r="E27" s="79"/>
      <c r="F27" s="79"/>
      <c r="G27" s="80"/>
      <c r="H27" s="83" t="s">
        <v>5</v>
      </c>
      <c r="I27" s="83"/>
      <c r="J27" s="83"/>
      <c r="K27" s="83"/>
      <c r="L27" s="83"/>
      <c r="M27" s="84" t="s">
        <v>9</v>
      </c>
      <c r="N27" s="84"/>
      <c r="O27" s="84"/>
      <c r="P27" s="84"/>
      <c r="Q27" s="84"/>
      <c r="R27" s="84"/>
      <c r="S27" s="84"/>
      <c r="T27" s="84"/>
    </row>
    <row r="28" spans="1:22" ht="45" x14ac:dyDescent="0.25">
      <c r="A28" s="23" t="s">
        <v>53</v>
      </c>
      <c r="B28" s="15" t="s">
        <v>29</v>
      </c>
      <c r="C28" s="15" t="s">
        <v>28</v>
      </c>
      <c r="D28" s="12" t="s">
        <v>35</v>
      </c>
      <c r="E28" s="12" t="s">
        <v>27</v>
      </c>
      <c r="F28" s="12" t="s">
        <v>36</v>
      </c>
      <c r="G28" s="12" t="s">
        <v>37</v>
      </c>
      <c r="H28" s="13" t="s">
        <v>39</v>
      </c>
      <c r="I28" s="13" t="s">
        <v>38</v>
      </c>
      <c r="J28" s="13" t="s">
        <v>44</v>
      </c>
      <c r="K28" s="49"/>
      <c r="L28" s="44" t="s">
        <v>40</v>
      </c>
      <c r="M28" s="14" t="s">
        <v>39</v>
      </c>
      <c r="N28" s="50"/>
      <c r="O28" s="47" t="s">
        <v>41</v>
      </c>
      <c r="P28" s="54" t="s">
        <v>95</v>
      </c>
      <c r="Q28" s="54" t="s">
        <v>44</v>
      </c>
      <c r="R28" s="54" t="s">
        <v>95</v>
      </c>
      <c r="S28" s="54" t="s">
        <v>42</v>
      </c>
      <c r="T28" s="50" t="s">
        <v>43</v>
      </c>
    </row>
    <row r="29" spans="1:22" ht="30" x14ac:dyDescent="0.25">
      <c r="A29" s="32" t="s">
        <v>54</v>
      </c>
      <c r="B29" s="32" t="s">
        <v>32</v>
      </c>
      <c r="C29" s="33" t="s">
        <v>24</v>
      </c>
      <c r="D29" s="6">
        <v>0</v>
      </c>
      <c r="E29" s="19">
        <v>480</v>
      </c>
      <c r="F29" s="19">
        <v>30</v>
      </c>
      <c r="G29" s="19">
        <v>0</v>
      </c>
      <c r="H29" s="20" t="s">
        <v>16</v>
      </c>
      <c r="I29" s="20" t="s">
        <v>0</v>
      </c>
      <c r="J29" s="20">
        <v>20</v>
      </c>
      <c r="K29" s="56">
        <v>45484.680555555555</v>
      </c>
      <c r="L29" s="45" t="s">
        <v>65</v>
      </c>
      <c r="M29" s="21" t="s">
        <v>16</v>
      </c>
      <c r="N29" s="58">
        <v>45484.680555555555</v>
      </c>
      <c r="O29" s="48" t="s">
        <v>65</v>
      </c>
      <c r="P29" s="57">
        <f>N29-K29</f>
        <v>0</v>
      </c>
      <c r="Q29" s="21">
        <v>20</v>
      </c>
      <c r="R29" s="57" t="b">
        <f t="shared" ref="R29:R44" si="4">IF(AND(I29="YES",P29&gt;0),TRUE,IF(AND(I29="NO",P29=0),TRUE,FALSE))</f>
        <v>0</v>
      </c>
      <c r="S29" s="21" t="s">
        <v>68</v>
      </c>
      <c r="T29" s="10" t="s">
        <v>72</v>
      </c>
      <c r="U29" s="1" t="s">
        <v>98</v>
      </c>
      <c r="V29" s="1" t="s">
        <v>107</v>
      </c>
    </row>
    <row r="30" spans="1:22" x14ac:dyDescent="0.25">
      <c r="A30" s="32" t="s">
        <v>54</v>
      </c>
      <c r="B30" s="32" t="s">
        <v>32</v>
      </c>
      <c r="C30" s="33" t="s">
        <v>24</v>
      </c>
      <c r="D30" s="6">
        <v>0</v>
      </c>
      <c r="E30" s="19">
        <v>480</v>
      </c>
      <c r="F30" s="19">
        <v>30</v>
      </c>
      <c r="G30" s="19">
        <v>0</v>
      </c>
      <c r="H30" s="20" t="s">
        <v>16</v>
      </c>
      <c r="I30" s="20" t="s">
        <v>2</v>
      </c>
      <c r="J30" s="20">
        <v>20</v>
      </c>
      <c r="K30" s="56">
        <v>45485.506944444445</v>
      </c>
      <c r="L30" s="45" t="s">
        <v>73</v>
      </c>
      <c r="M30" s="21" t="s">
        <v>16</v>
      </c>
      <c r="N30" s="58">
        <v>45485.506944444445</v>
      </c>
      <c r="O30" s="48" t="s">
        <v>73</v>
      </c>
      <c r="P30" s="57">
        <f t="shared" ref="P30:P44" si="5">N30-K30</f>
        <v>0</v>
      </c>
      <c r="Q30" s="21">
        <v>20</v>
      </c>
      <c r="R30" s="57" t="b">
        <f t="shared" si="4"/>
        <v>1</v>
      </c>
      <c r="S30" s="21" t="s">
        <v>67</v>
      </c>
      <c r="T30" s="10"/>
    </row>
    <row r="31" spans="1:22" ht="30" x14ac:dyDescent="0.25">
      <c r="A31" s="32" t="s">
        <v>54</v>
      </c>
      <c r="B31" s="32" t="s">
        <v>32</v>
      </c>
      <c r="C31" s="33" t="s">
        <v>24</v>
      </c>
      <c r="D31" s="6">
        <v>0</v>
      </c>
      <c r="E31" s="19">
        <v>480</v>
      </c>
      <c r="F31" s="19">
        <v>30</v>
      </c>
      <c r="G31" s="19">
        <v>0</v>
      </c>
      <c r="H31" s="20" t="s">
        <v>21</v>
      </c>
      <c r="I31" s="20" t="s">
        <v>0</v>
      </c>
      <c r="J31" s="20">
        <v>20</v>
      </c>
      <c r="K31" s="56">
        <v>45485.638888888891</v>
      </c>
      <c r="L31" s="45" t="s">
        <v>74</v>
      </c>
      <c r="M31" s="21" t="s">
        <v>21</v>
      </c>
      <c r="N31" s="58">
        <v>45485.638888888891</v>
      </c>
      <c r="O31" s="48" t="s">
        <v>74</v>
      </c>
      <c r="P31" s="57">
        <f t="shared" si="5"/>
        <v>0</v>
      </c>
      <c r="Q31" s="21">
        <v>20</v>
      </c>
      <c r="R31" s="57" t="b">
        <f t="shared" si="4"/>
        <v>0</v>
      </c>
      <c r="S31" s="21" t="s">
        <v>68</v>
      </c>
      <c r="T31" s="10" t="s">
        <v>78</v>
      </c>
      <c r="U31" s="1" t="s">
        <v>98</v>
      </c>
      <c r="V31" s="1" t="s">
        <v>107</v>
      </c>
    </row>
    <row r="32" spans="1:22" ht="30" x14ac:dyDescent="0.25">
      <c r="A32" s="32" t="s">
        <v>54</v>
      </c>
      <c r="B32" s="32" t="s">
        <v>32</v>
      </c>
      <c r="C32" s="33" t="s">
        <v>24</v>
      </c>
      <c r="D32" s="6">
        <v>0</v>
      </c>
      <c r="E32" s="19">
        <v>480</v>
      </c>
      <c r="F32" s="19">
        <v>30</v>
      </c>
      <c r="G32" s="19">
        <v>0</v>
      </c>
      <c r="H32" s="20" t="s">
        <v>21</v>
      </c>
      <c r="I32" s="20" t="s">
        <v>2</v>
      </c>
      <c r="J32" s="20">
        <v>20</v>
      </c>
      <c r="K32" s="56">
        <v>45485.711805555555</v>
      </c>
      <c r="L32" s="45" t="s">
        <v>81</v>
      </c>
      <c r="M32" s="21" t="s">
        <v>21</v>
      </c>
      <c r="N32" s="58">
        <v>45485.711805555555</v>
      </c>
      <c r="O32" s="48" t="s">
        <v>81</v>
      </c>
      <c r="P32" s="57">
        <f t="shared" si="5"/>
        <v>0</v>
      </c>
      <c r="Q32" s="21">
        <v>25</v>
      </c>
      <c r="R32" s="57" t="b">
        <f t="shared" si="4"/>
        <v>1</v>
      </c>
      <c r="S32" s="21" t="s">
        <v>67</v>
      </c>
      <c r="T32" s="10" t="s">
        <v>88</v>
      </c>
      <c r="U32" s="1" t="s">
        <v>102</v>
      </c>
      <c r="V32" s="1" t="s">
        <v>109</v>
      </c>
    </row>
    <row r="33" spans="1:22" ht="30" x14ac:dyDescent="0.25">
      <c r="A33" s="34" t="s">
        <v>55</v>
      </c>
      <c r="B33" s="34" t="s">
        <v>32</v>
      </c>
      <c r="C33" s="35" t="s">
        <v>31</v>
      </c>
      <c r="D33" s="6">
        <v>0</v>
      </c>
      <c r="E33" s="19">
        <v>480</v>
      </c>
      <c r="F33" s="19">
        <v>30</v>
      </c>
      <c r="G33" s="19">
        <v>0</v>
      </c>
      <c r="H33" s="20" t="s">
        <v>16</v>
      </c>
      <c r="I33" s="20" t="s">
        <v>0</v>
      </c>
      <c r="J33" s="20">
        <v>20</v>
      </c>
      <c r="K33" s="56">
        <v>45484.680555555555</v>
      </c>
      <c r="L33" s="45" t="s">
        <v>65</v>
      </c>
      <c r="M33" s="21" t="s">
        <v>64</v>
      </c>
      <c r="N33" s="58">
        <v>45484.680555555555</v>
      </c>
      <c r="O33" s="48" t="s">
        <v>65</v>
      </c>
      <c r="P33" s="57">
        <f t="shared" si="5"/>
        <v>0</v>
      </c>
      <c r="Q33" s="21">
        <v>20</v>
      </c>
      <c r="R33" s="57" t="b">
        <f t="shared" si="4"/>
        <v>0</v>
      </c>
      <c r="S33" s="21" t="s">
        <v>68</v>
      </c>
      <c r="T33" s="10" t="s">
        <v>72</v>
      </c>
      <c r="U33" s="1" t="s">
        <v>98</v>
      </c>
      <c r="V33" s="1" t="s">
        <v>107</v>
      </c>
    </row>
    <row r="34" spans="1:22" x14ac:dyDescent="0.25">
      <c r="A34" s="34" t="s">
        <v>55</v>
      </c>
      <c r="B34" s="34" t="s">
        <v>32</v>
      </c>
      <c r="C34" s="35" t="s">
        <v>31</v>
      </c>
      <c r="D34" s="6">
        <v>0</v>
      </c>
      <c r="E34" s="19">
        <v>480</v>
      </c>
      <c r="F34" s="19">
        <v>30</v>
      </c>
      <c r="G34" s="19">
        <v>0</v>
      </c>
      <c r="H34" s="20" t="s">
        <v>16</v>
      </c>
      <c r="I34" s="20" t="s">
        <v>2</v>
      </c>
      <c r="J34" s="20">
        <v>20</v>
      </c>
      <c r="K34" s="56">
        <v>45485.506944444445</v>
      </c>
      <c r="L34" s="45" t="s">
        <v>73</v>
      </c>
      <c r="M34" s="21" t="s">
        <v>16</v>
      </c>
      <c r="N34" s="58">
        <v>45485.506944444445</v>
      </c>
      <c r="O34" s="48" t="s">
        <v>73</v>
      </c>
      <c r="P34" s="57">
        <f t="shared" si="5"/>
        <v>0</v>
      </c>
      <c r="Q34" s="21">
        <v>20</v>
      </c>
      <c r="R34" s="57" t="b">
        <f t="shared" si="4"/>
        <v>1</v>
      </c>
      <c r="S34" s="21" t="s">
        <v>67</v>
      </c>
      <c r="T34" s="10"/>
    </row>
    <row r="35" spans="1:22" ht="30" x14ac:dyDescent="0.25">
      <c r="A35" s="34" t="s">
        <v>55</v>
      </c>
      <c r="B35" s="34" t="s">
        <v>32</v>
      </c>
      <c r="C35" s="35" t="s">
        <v>31</v>
      </c>
      <c r="D35" s="6">
        <v>0</v>
      </c>
      <c r="E35" s="19">
        <v>480</v>
      </c>
      <c r="F35" s="19">
        <v>30</v>
      </c>
      <c r="G35" s="19">
        <v>0</v>
      </c>
      <c r="H35" s="20" t="s">
        <v>21</v>
      </c>
      <c r="I35" s="20" t="s">
        <v>0</v>
      </c>
      <c r="J35" s="20">
        <v>20</v>
      </c>
      <c r="K35" s="56">
        <v>45485.638888888891</v>
      </c>
      <c r="L35" s="45" t="s">
        <v>74</v>
      </c>
      <c r="M35" s="21" t="s">
        <v>21</v>
      </c>
      <c r="N35" s="58">
        <v>45485.638888888891</v>
      </c>
      <c r="O35" s="48" t="s">
        <v>74</v>
      </c>
      <c r="P35" s="57">
        <f t="shared" si="5"/>
        <v>0</v>
      </c>
      <c r="Q35" s="21">
        <v>20</v>
      </c>
      <c r="R35" s="57" t="b">
        <f t="shared" si="4"/>
        <v>0</v>
      </c>
      <c r="S35" s="21" t="s">
        <v>68</v>
      </c>
      <c r="T35" s="10" t="s">
        <v>78</v>
      </c>
      <c r="U35" s="1" t="s">
        <v>103</v>
      </c>
      <c r="V35" s="1" t="s">
        <v>109</v>
      </c>
    </row>
    <row r="36" spans="1:22" ht="30" x14ac:dyDescent="0.25">
      <c r="A36" s="34" t="s">
        <v>55</v>
      </c>
      <c r="B36" s="34" t="s">
        <v>32</v>
      </c>
      <c r="C36" s="35" t="s">
        <v>31</v>
      </c>
      <c r="D36" s="6">
        <v>0</v>
      </c>
      <c r="E36" s="19">
        <v>480</v>
      </c>
      <c r="F36" s="19">
        <v>30</v>
      </c>
      <c r="G36" s="19">
        <v>0</v>
      </c>
      <c r="H36" s="20" t="s">
        <v>21</v>
      </c>
      <c r="I36" s="20" t="s">
        <v>2</v>
      </c>
      <c r="J36" s="20">
        <v>20</v>
      </c>
      <c r="K36" s="56">
        <v>45485.711805555555</v>
      </c>
      <c r="L36" s="45" t="s">
        <v>81</v>
      </c>
      <c r="M36" s="21" t="s">
        <v>21</v>
      </c>
      <c r="N36" s="58">
        <v>45485.711805555555</v>
      </c>
      <c r="O36" s="48" t="s">
        <v>81</v>
      </c>
      <c r="P36" s="57">
        <f t="shared" si="5"/>
        <v>0</v>
      </c>
      <c r="Q36" s="21">
        <v>20</v>
      </c>
      <c r="R36" s="57" t="b">
        <f t="shared" si="4"/>
        <v>1</v>
      </c>
      <c r="S36" s="21" t="s">
        <v>67</v>
      </c>
      <c r="T36" s="10"/>
      <c r="U36" s="1" t="s">
        <v>103</v>
      </c>
      <c r="V36" s="1" t="s">
        <v>109</v>
      </c>
    </row>
    <row r="37" spans="1:22" ht="30" x14ac:dyDescent="0.25">
      <c r="A37" s="36" t="s">
        <v>56</v>
      </c>
      <c r="B37" s="36" t="s">
        <v>33</v>
      </c>
      <c r="C37" s="37" t="s">
        <v>49</v>
      </c>
      <c r="D37" s="6">
        <v>0</v>
      </c>
      <c r="E37" s="19">
        <v>480</v>
      </c>
      <c r="F37" s="19">
        <v>30</v>
      </c>
      <c r="G37" s="19">
        <v>0</v>
      </c>
      <c r="H37" s="20" t="s">
        <v>16</v>
      </c>
      <c r="I37" s="20" t="s">
        <v>0</v>
      </c>
      <c r="J37" s="20">
        <v>20</v>
      </c>
      <c r="K37" s="56">
        <v>45488.649305555555</v>
      </c>
      <c r="L37" s="45" t="s">
        <v>91</v>
      </c>
      <c r="M37" s="21" t="s">
        <v>16</v>
      </c>
      <c r="N37" s="58">
        <v>45488.649305555555</v>
      </c>
      <c r="O37" s="48" t="s">
        <v>91</v>
      </c>
      <c r="P37" s="57">
        <f t="shared" si="5"/>
        <v>0</v>
      </c>
      <c r="Q37" s="21">
        <v>480</v>
      </c>
      <c r="R37" s="57" t="b">
        <f t="shared" si="4"/>
        <v>0</v>
      </c>
      <c r="S37" s="21" t="s">
        <v>68</v>
      </c>
      <c r="T37" s="10" t="s">
        <v>93</v>
      </c>
      <c r="U37" s="1" t="s">
        <v>110</v>
      </c>
      <c r="V37" s="1" t="s">
        <v>110</v>
      </c>
    </row>
    <row r="38" spans="1:22" x14ac:dyDescent="0.25">
      <c r="A38" s="36" t="s">
        <v>56</v>
      </c>
      <c r="B38" s="36" t="s">
        <v>33</v>
      </c>
      <c r="C38" s="37" t="s">
        <v>49</v>
      </c>
      <c r="D38" s="6">
        <v>0</v>
      </c>
      <c r="E38" s="19">
        <v>480</v>
      </c>
      <c r="F38" s="19">
        <v>30</v>
      </c>
      <c r="G38" s="19">
        <v>0</v>
      </c>
      <c r="H38" s="20" t="s">
        <v>16</v>
      </c>
      <c r="I38" s="20" t="s">
        <v>2</v>
      </c>
      <c r="J38" s="20">
        <v>20</v>
      </c>
      <c r="K38" s="56">
        <v>45488.680555555555</v>
      </c>
      <c r="L38" s="45" t="s">
        <v>92</v>
      </c>
      <c r="M38" s="21" t="s">
        <v>16</v>
      </c>
      <c r="N38" s="58">
        <v>45488.680555555555</v>
      </c>
      <c r="O38" s="48" t="s">
        <v>92</v>
      </c>
      <c r="P38" s="57">
        <f t="shared" si="5"/>
        <v>0</v>
      </c>
      <c r="Q38" s="21">
        <v>480</v>
      </c>
      <c r="R38" s="57" t="b">
        <f t="shared" si="4"/>
        <v>1</v>
      </c>
      <c r="S38" s="21" t="s">
        <v>68</v>
      </c>
      <c r="T38" s="10" t="s">
        <v>94</v>
      </c>
      <c r="U38" s="1" t="s">
        <v>110</v>
      </c>
      <c r="V38" s="1" t="s">
        <v>110</v>
      </c>
    </row>
    <row r="39" spans="1:22" ht="30" x14ac:dyDescent="0.25">
      <c r="A39" s="36" t="s">
        <v>56</v>
      </c>
      <c r="B39" s="36" t="s">
        <v>33</v>
      </c>
      <c r="C39" s="37" t="s">
        <v>49</v>
      </c>
      <c r="D39" s="6">
        <v>0</v>
      </c>
      <c r="E39" s="19">
        <v>480</v>
      </c>
      <c r="F39" s="19">
        <v>30</v>
      </c>
      <c r="G39" s="19">
        <v>0</v>
      </c>
      <c r="H39" s="20" t="s">
        <v>21</v>
      </c>
      <c r="I39" s="20" t="s">
        <v>0</v>
      </c>
      <c r="J39" s="20">
        <v>20</v>
      </c>
      <c r="K39" s="56">
        <v>45488.5</v>
      </c>
      <c r="L39" s="45" t="s">
        <v>89</v>
      </c>
      <c r="M39" s="21" t="s">
        <v>21</v>
      </c>
      <c r="N39" s="58">
        <v>45488.5</v>
      </c>
      <c r="O39" s="48" t="s">
        <v>89</v>
      </c>
      <c r="P39" s="57">
        <f t="shared" si="5"/>
        <v>0</v>
      </c>
      <c r="Q39" s="21">
        <v>480</v>
      </c>
      <c r="R39" s="57" t="b">
        <f t="shared" si="4"/>
        <v>0</v>
      </c>
      <c r="S39" s="21" t="s">
        <v>68</v>
      </c>
      <c r="T39" s="10" t="s">
        <v>90</v>
      </c>
      <c r="U39" s="1" t="s">
        <v>110</v>
      </c>
      <c r="V39" s="1" t="s">
        <v>110</v>
      </c>
    </row>
    <row r="40" spans="1:22" ht="30" x14ac:dyDescent="0.25">
      <c r="A40" s="36" t="s">
        <v>56</v>
      </c>
      <c r="B40" s="36" t="s">
        <v>33</v>
      </c>
      <c r="C40" s="37" t="s">
        <v>49</v>
      </c>
      <c r="D40" s="6">
        <v>0</v>
      </c>
      <c r="E40" s="19">
        <v>480</v>
      </c>
      <c r="F40" s="19">
        <v>30</v>
      </c>
      <c r="G40" s="19">
        <v>0</v>
      </c>
      <c r="H40" s="20" t="s">
        <v>21</v>
      </c>
      <c r="I40" s="20" t="s">
        <v>2</v>
      </c>
      <c r="J40" s="20">
        <v>20</v>
      </c>
      <c r="K40" s="56">
        <v>45485.711805555555</v>
      </c>
      <c r="L40" s="45" t="s">
        <v>81</v>
      </c>
      <c r="M40" s="21" t="s">
        <v>21</v>
      </c>
      <c r="N40" s="58">
        <v>45485.711805555555</v>
      </c>
      <c r="O40" s="48" t="s">
        <v>81</v>
      </c>
      <c r="P40" s="57">
        <f t="shared" si="5"/>
        <v>0</v>
      </c>
      <c r="Q40" s="21">
        <v>480</v>
      </c>
      <c r="R40" s="57" t="b">
        <f t="shared" si="4"/>
        <v>1</v>
      </c>
      <c r="S40" s="21" t="s">
        <v>68</v>
      </c>
      <c r="T40" s="10" t="s">
        <v>90</v>
      </c>
      <c r="U40" s="1" t="s">
        <v>110</v>
      </c>
      <c r="V40" s="1" t="s">
        <v>110</v>
      </c>
    </row>
    <row r="41" spans="1:22" ht="30" x14ac:dyDescent="0.25">
      <c r="A41" s="38" t="s">
        <v>57</v>
      </c>
      <c r="B41" s="38" t="s">
        <v>33</v>
      </c>
      <c r="C41" s="39" t="s">
        <v>31</v>
      </c>
      <c r="D41" s="6">
        <v>0</v>
      </c>
      <c r="E41" s="19">
        <v>480</v>
      </c>
      <c r="F41" s="19">
        <v>30</v>
      </c>
      <c r="G41" s="19">
        <v>0</v>
      </c>
      <c r="H41" s="20" t="s">
        <v>16</v>
      </c>
      <c r="I41" s="20" t="s">
        <v>0</v>
      </c>
      <c r="J41" s="20">
        <v>20</v>
      </c>
      <c r="K41" s="56">
        <v>45484.680555555555</v>
      </c>
      <c r="L41" s="45" t="s">
        <v>65</v>
      </c>
      <c r="M41" s="21" t="s">
        <v>16</v>
      </c>
      <c r="N41" s="58">
        <v>45484.680555555555</v>
      </c>
      <c r="O41" s="48" t="s">
        <v>65</v>
      </c>
      <c r="P41" s="57">
        <f t="shared" si="5"/>
        <v>0</v>
      </c>
      <c r="Q41" s="21">
        <v>20</v>
      </c>
      <c r="R41" s="57" t="b">
        <f t="shared" si="4"/>
        <v>0</v>
      </c>
      <c r="S41" s="21" t="s">
        <v>68</v>
      </c>
      <c r="T41" s="10" t="s">
        <v>72</v>
      </c>
      <c r="U41" s="1" t="s">
        <v>104</v>
      </c>
      <c r="V41" s="1" t="s">
        <v>107</v>
      </c>
    </row>
    <row r="42" spans="1:22" x14ac:dyDescent="0.25">
      <c r="A42" s="38" t="s">
        <v>57</v>
      </c>
      <c r="B42" s="38" t="s">
        <v>33</v>
      </c>
      <c r="C42" s="39" t="s">
        <v>31</v>
      </c>
      <c r="D42" s="6">
        <v>0</v>
      </c>
      <c r="E42" s="19">
        <v>480</v>
      </c>
      <c r="F42" s="19">
        <v>30</v>
      </c>
      <c r="G42" s="19">
        <v>0</v>
      </c>
      <c r="H42" s="20" t="s">
        <v>16</v>
      </c>
      <c r="I42" s="20" t="s">
        <v>2</v>
      </c>
      <c r="J42" s="20">
        <v>20</v>
      </c>
      <c r="K42" s="56">
        <v>45485.506944444445</v>
      </c>
      <c r="L42" s="45" t="s">
        <v>73</v>
      </c>
      <c r="M42" s="21" t="s">
        <v>16</v>
      </c>
      <c r="N42" s="58">
        <v>45485.506944444445</v>
      </c>
      <c r="O42" s="48" t="s">
        <v>73</v>
      </c>
      <c r="P42" s="57">
        <f t="shared" si="5"/>
        <v>0</v>
      </c>
      <c r="Q42" s="21">
        <v>20</v>
      </c>
      <c r="R42" s="57" t="b">
        <f t="shared" si="4"/>
        <v>1</v>
      </c>
      <c r="S42" s="21" t="s">
        <v>67</v>
      </c>
      <c r="T42" s="10"/>
    </row>
    <row r="43" spans="1:22" ht="30" x14ac:dyDescent="0.25">
      <c r="A43" s="38" t="s">
        <v>57</v>
      </c>
      <c r="B43" s="38" t="s">
        <v>33</v>
      </c>
      <c r="C43" s="39" t="s">
        <v>31</v>
      </c>
      <c r="D43" s="6">
        <v>0</v>
      </c>
      <c r="E43" s="19">
        <v>480</v>
      </c>
      <c r="F43" s="19">
        <v>30</v>
      </c>
      <c r="G43" s="19">
        <v>0</v>
      </c>
      <c r="H43" s="20" t="s">
        <v>21</v>
      </c>
      <c r="I43" s="20" t="s">
        <v>0</v>
      </c>
      <c r="J43" s="20">
        <v>20</v>
      </c>
      <c r="K43" s="56">
        <v>45485.638888888891</v>
      </c>
      <c r="L43" s="45" t="s">
        <v>74</v>
      </c>
      <c r="M43" s="21" t="s">
        <v>21</v>
      </c>
      <c r="N43" s="58">
        <v>45485.638888888891</v>
      </c>
      <c r="O43" s="48" t="s">
        <v>74</v>
      </c>
      <c r="P43" s="57">
        <f t="shared" si="5"/>
        <v>0</v>
      </c>
      <c r="Q43" s="21">
        <v>20</v>
      </c>
      <c r="R43" s="57" t="b">
        <f t="shared" si="4"/>
        <v>0</v>
      </c>
      <c r="S43" s="21" t="s">
        <v>68</v>
      </c>
      <c r="T43" s="10" t="s">
        <v>78</v>
      </c>
      <c r="U43" s="1" t="s">
        <v>104</v>
      </c>
      <c r="V43" s="1" t="s">
        <v>107</v>
      </c>
    </row>
    <row r="44" spans="1:22" x14ac:dyDescent="0.25">
      <c r="A44" s="38" t="s">
        <v>57</v>
      </c>
      <c r="B44" s="38" t="s">
        <v>33</v>
      </c>
      <c r="C44" s="39" t="s">
        <v>31</v>
      </c>
      <c r="D44" s="6">
        <v>0</v>
      </c>
      <c r="E44" s="19">
        <v>480</v>
      </c>
      <c r="F44" s="19">
        <v>30</v>
      </c>
      <c r="G44" s="19">
        <v>0</v>
      </c>
      <c r="H44" s="20" t="s">
        <v>21</v>
      </c>
      <c r="I44" s="20" t="s">
        <v>2</v>
      </c>
      <c r="J44" s="20">
        <v>20</v>
      </c>
      <c r="K44" s="56">
        <v>45485.711805555555</v>
      </c>
      <c r="L44" s="45" t="s">
        <v>81</v>
      </c>
      <c r="M44" s="21" t="s">
        <v>21</v>
      </c>
      <c r="N44" s="58">
        <v>45485.711805555555</v>
      </c>
      <c r="O44" s="48" t="s">
        <v>81</v>
      </c>
      <c r="P44" s="57">
        <f t="shared" si="5"/>
        <v>0</v>
      </c>
      <c r="Q44" s="21">
        <v>20</v>
      </c>
      <c r="R44" s="57" t="b">
        <f t="shared" si="4"/>
        <v>1</v>
      </c>
      <c r="S44" s="21" t="s">
        <v>67</v>
      </c>
      <c r="T44" s="10"/>
    </row>
    <row r="46" spans="1:22" x14ac:dyDescent="0.25">
      <c r="A46" s="81" t="s">
        <v>17</v>
      </c>
      <c r="B46" s="81"/>
      <c r="C46" s="81"/>
      <c r="D46" s="81"/>
      <c r="E46" s="81"/>
      <c r="F46" s="81"/>
      <c r="G46" s="81"/>
      <c r="H46" s="81"/>
      <c r="I46" s="81"/>
      <c r="J46" s="81"/>
      <c r="K46" s="81"/>
      <c r="L46" s="81"/>
      <c r="M46" s="81"/>
      <c r="N46" s="81"/>
      <c r="O46" s="81"/>
      <c r="P46" s="81"/>
      <c r="Q46" s="81"/>
      <c r="R46" s="81"/>
      <c r="S46" s="81"/>
      <c r="T46" s="82"/>
    </row>
    <row r="47" spans="1:22" x14ac:dyDescent="0.25">
      <c r="A47" s="79" t="s">
        <v>45</v>
      </c>
      <c r="B47" s="79"/>
      <c r="C47" s="79"/>
      <c r="D47" s="79"/>
      <c r="E47" s="79"/>
      <c r="F47" s="79"/>
      <c r="G47" s="80"/>
      <c r="H47" s="83" t="s">
        <v>5</v>
      </c>
      <c r="I47" s="83"/>
      <c r="J47" s="83"/>
      <c r="K47" s="83"/>
      <c r="L47" s="83"/>
      <c r="M47" s="84" t="s">
        <v>9</v>
      </c>
      <c r="N47" s="84"/>
      <c r="O47" s="84"/>
      <c r="P47" s="84"/>
      <c r="Q47" s="84"/>
      <c r="R47" s="84"/>
      <c r="S47" s="84"/>
      <c r="T47" s="84"/>
    </row>
    <row r="48" spans="1:22" ht="45" x14ac:dyDescent="0.25">
      <c r="A48" s="23" t="s">
        <v>53</v>
      </c>
      <c r="B48" s="12" t="s">
        <v>28</v>
      </c>
      <c r="C48" s="12" t="s">
        <v>29</v>
      </c>
      <c r="D48" s="12" t="s">
        <v>35</v>
      </c>
      <c r="E48" s="12" t="s">
        <v>27</v>
      </c>
      <c r="F48" s="12" t="s">
        <v>36</v>
      </c>
      <c r="G48" s="12" t="s">
        <v>37</v>
      </c>
      <c r="H48" s="13" t="s">
        <v>39</v>
      </c>
      <c r="I48" s="13" t="s">
        <v>38</v>
      </c>
      <c r="J48" s="13" t="s">
        <v>44</v>
      </c>
      <c r="K48" s="49"/>
      <c r="L48" s="44" t="s">
        <v>40</v>
      </c>
      <c r="M48" s="14" t="s">
        <v>39</v>
      </c>
      <c r="N48" s="50"/>
      <c r="O48" s="47" t="s">
        <v>41</v>
      </c>
      <c r="P48" s="54" t="s">
        <v>95</v>
      </c>
      <c r="Q48" s="54" t="s">
        <v>44</v>
      </c>
      <c r="R48" s="54" t="s">
        <v>95</v>
      </c>
      <c r="S48" s="54" t="s">
        <v>42</v>
      </c>
      <c r="T48" s="50" t="s">
        <v>43</v>
      </c>
    </row>
    <row r="49" spans="1:20" x14ac:dyDescent="0.25">
      <c r="A49" s="40" t="s">
        <v>58</v>
      </c>
      <c r="B49" s="40" t="s">
        <v>34</v>
      </c>
      <c r="C49" s="41" t="s">
        <v>24</v>
      </c>
      <c r="D49" s="19" t="s">
        <v>1</v>
      </c>
      <c r="E49" s="19" t="s">
        <v>1</v>
      </c>
      <c r="F49" s="19">
        <v>90</v>
      </c>
      <c r="G49" s="19">
        <v>0</v>
      </c>
      <c r="H49" s="20" t="s">
        <v>16</v>
      </c>
      <c r="I49" s="20" t="s">
        <v>0</v>
      </c>
      <c r="J49" s="20">
        <v>20</v>
      </c>
      <c r="K49" s="56">
        <v>45484.680555555555</v>
      </c>
      <c r="L49" s="45" t="s">
        <v>65</v>
      </c>
      <c r="M49" s="21" t="s">
        <v>16</v>
      </c>
      <c r="N49" s="58">
        <v>45484.686805555553</v>
      </c>
      <c r="O49" s="48" t="s">
        <v>70</v>
      </c>
      <c r="P49" s="57">
        <f>N49-K49</f>
        <v>6.2499999985448085E-3</v>
      </c>
      <c r="Q49" s="21">
        <v>20</v>
      </c>
      <c r="R49" s="57" t="b">
        <f t="shared" ref="R49:R56" si="6">IF(AND(I49="YES",P49&gt;0),TRUE,IF(AND(I49="NO",P49=0),TRUE,FALSE))</f>
        <v>1</v>
      </c>
      <c r="S49" s="21" t="s">
        <v>67</v>
      </c>
      <c r="T49" s="10"/>
    </row>
    <row r="50" spans="1:20" x14ac:dyDescent="0.25">
      <c r="A50" s="40" t="s">
        <v>58</v>
      </c>
      <c r="B50" s="40" t="s">
        <v>34</v>
      </c>
      <c r="C50" s="41" t="s">
        <v>24</v>
      </c>
      <c r="D50" s="19" t="s">
        <v>1</v>
      </c>
      <c r="E50" s="19" t="s">
        <v>1</v>
      </c>
      <c r="F50" s="19">
        <v>90</v>
      </c>
      <c r="G50" s="19">
        <v>0</v>
      </c>
      <c r="H50" s="20" t="s">
        <v>16</v>
      </c>
      <c r="I50" s="20" t="s">
        <v>2</v>
      </c>
      <c r="J50" s="20">
        <v>20</v>
      </c>
      <c r="K50" s="56">
        <v>45485.506944444445</v>
      </c>
      <c r="L50" s="45" t="s">
        <v>73</v>
      </c>
      <c r="M50" s="21" t="s">
        <v>16</v>
      </c>
      <c r="N50" s="58">
        <v>45485.506944444445</v>
      </c>
      <c r="O50" s="48" t="s">
        <v>73</v>
      </c>
      <c r="P50" s="57">
        <f t="shared" ref="P50:P56" si="7">N50-K50</f>
        <v>0</v>
      </c>
      <c r="Q50" s="21">
        <v>20</v>
      </c>
      <c r="R50" s="57" t="b">
        <f t="shared" si="6"/>
        <v>1</v>
      </c>
      <c r="S50" s="21" t="s">
        <v>67</v>
      </c>
      <c r="T50" s="10"/>
    </row>
    <row r="51" spans="1:20" x14ac:dyDescent="0.25">
      <c r="A51" s="40" t="s">
        <v>58</v>
      </c>
      <c r="B51" s="40" t="s">
        <v>34</v>
      </c>
      <c r="C51" s="41" t="s">
        <v>24</v>
      </c>
      <c r="D51" s="19" t="s">
        <v>1</v>
      </c>
      <c r="E51" s="19" t="s">
        <v>1</v>
      </c>
      <c r="F51" s="19">
        <v>90</v>
      </c>
      <c r="G51" s="19">
        <v>0</v>
      </c>
      <c r="H51" s="20" t="s">
        <v>21</v>
      </c>
      <c r="I51" s="20" t="s">
        <v>0</v>
      </c>
      <c r="J51" s="20">
        <v>20</v>
      </c>
      <c r="K51" s="56">
        <v>45485.638888888891</v>
      </c>
      <c r="L51" s="45" t="s">
        <v>74</v>
      </c>
      <c r="M51" s="21" t="s">
        <v>21</v>
      </c>
      <c r="N51" s="58">
        <v>45485.63958333333</v>
      </c>
      <c r="O51" s="48" t="s">
        <v>79</v>
      </c>
      <c r="P51" s="57">
        <f t="shared" si="7"/>
        <v>6.9444443943211809E-4</v>
      </c>
      <c r="Q51" s="21">
        <v>20</v>
      </c>
      <c r="R51" s="57" t="b">
        <f t="shared" si="6"/>
        <v>1</v>
      </c>
      <c r="S51" s="21" t="s">
        <v>67</v>
      </c>
      <c r="T51" s="10"/>
    </row>
    <row r="52" spans="1:20" x14ac:dyDescent="0.25">
      <c r="A52" s="40" t="s">
        <v>58</v>
      </c>
      <c r="B52" s="40" t="s">
        <v>34</v>
      </c>
      <c r="C52" s="41" t="s">
        <v>24</v>
      </c>
      <c r="D52" s="19" t="s">
        <v>1</v>
      </c>
      <c r="E52" s="19" t="s">
        <v>1</v>
      </c>
      <c r="F52" s="19">
        <v>90</v>
      </c>
      <c r="G52" s="19">
        <v>0</v>
      </c>
      <c r="H52" s="20" t="s">
        <v>21</v>
      </c>
      <c r="I52" s="20" t="s">
        <v>2</v>
      </c>
      <c r="J52" s="20">
        <v>20</v>
      </c>
      <c r="K52" s="56">
        <v>45485.711805555555</v>
      </c>
      <c r="L52" s="45" t="s">
        <v>81</v>
      </c>
      <c r="M52" s="21" t="s">
        <v>21</v>
      </c>
      <c r="N52" s="58">
        <v>45485.711805555555</v>
      </c>
      <c r="O52" s="48" t="s">
        <v>81</v>
      </c>
      <c r="P52" s="57">
        <f t="shared" si="7"/>
        <v>0</v>
      </c>
      <c r="Q52" s="21">
        <v>20</v>
      </c>
      <c r="R52" s="57" t="b">
        <f t="shared" si="6"/>
        <v>1</v>
      </c>
      <c r="S52" s="21" t="s">
        <v>67</v>
      </c>
      <c r="T52" s="10"/>
    </row>
    <row r="53" spans="1:20" x14ac:dyDescent="0.25">
      <c r="A53" s="42" t="s">
        <v>59</v>
      </c>
      <c r="B53" s="42" t="s">
        <v>34</v>
      </c>
      <c r="C53" s="43" t="s">
        <v>31</v>
      </c>
      <c r="D53" s="19" t="s">
        <v>1</v>
      </c>
      <c r="E53" s="19" t="s">
        <v>1</v>
      </c>
      <c r="F53" s="19">
        <v>90</v>
      </c>
      <c r="G53" s="19">
        <v>0</v>
      </c>
      <c r="H53" s="20" t="s">
        <v>16</v>
      </c>
      <c r="I53" s="20" t="s">
        <v>0</v>
      </c>
      <c r="J53" s="20">
        <v>20</v>
      </c>
      <c r="K53" s="56">
        <v>45484.680555555555</v>
      </c>
      <c r="L53" s="45" t="s">
        <v>65</v>
      </c>
      <c r="M53" s="21" t="s">
        <v>16</v>
      </c>
      <c r="N53" s="58">
        <v>45484.688888888886</v>
      </c>
      <c r="O53" s="48" t="s">
        <v>69</v>
      </c>
      <c r="P53" s="57">
        <f t="shared" si="7"/>
        <v>8.333333331393078E-3</v>
      </c>
      <c r="Q53" s="21">
        <v>20</v>
      </c>
      <c r="R53" s="57" t="b">
        <f t="shared" si="6"/>
        <v>1</v>
      </c>
      <c r="S53" s="21" t="s">
        <v>67</v>
      </c>
      <c r="T53" s="10"/>
    </row>
    <row r="54" spans="1:20" x14ac:dyDescent="0.25">
      <c r="A54" s="42" t="s">
        <v>59</v>
      </c>
      <c r="B54" s="42" t="s">
        <v>34</v>
      </c>
      <c r="C54" s="43" t="s">
        <v>31</v>
      </c>
      <c r="D54" s="19" t="s">
        <v>1</v>
      </c>
      <c r="E54" s="19" t="s">
        <v>1</v>
      </c>
      <c r="F54" s="19">
        <v>90</v>
      </c>
      <c r="G54" s="19">
        <v>0</v>
      </c>
      <c r="H54" s="20" t="s">
        <v>16</v>
      </c>
      <c r="I54" s="20" t="s">
        <v>2</v>
      </c>
      <c r="J54" s="20">
        <v>20</v>
      </c>
      <c r="K54" s="56">
        <v>45485.506944444445</v>
      </c>
      <c r="L54" s="45" t="s">
        <v>73</v>
      </c>
      <c r="M54" s="21" t="s">
        <v>16</v>
      </c>
      <c r="N54" s="58">
        <v>45485.506944444445</v>
      </c>
      <c r="O54" s="48" t="s">
        <v>73</v>
      </c>
      <c r="P54" s="57">
        <f t="shared" si="7"/>
        <v>0</v>
      </c>
      <c r="Q54" s="21">
        <v>20</v>
      </c>
      <c r="R54" s="57" t="b">
        <f t="shared" si="6"/>
        <v>1</v>
      </c>
      <c r="S54" s="21" t="s">
        <v>67</v>
      </c>
      <c r="T54" s="10"/>
    </row>
    <row r="55" spans="1:20" x14ac:dyDescent="0.25">
      <c r="A55" s="42" t="s">
        <v>59</v>
      </c>
      <c r="B55" s="42" t="s">
        <v>34</v>
      </c>
      <c r="C55" s="43" t="s">
        <v>31</v>
      </c>
      <c r="D55" s="19" t="s">
        <v>1</v>
      </c>
      <c r="E55" s="19" t="s">
        <v>1</v>
      </c>
      <c r="F55" s="19">
        <v>90</v>
      </c>
      <c r="G55" s="19">
        <v>0</v>
      </c>
      <c r="H55" s="20" t="s">
        <v>21</v>
      </c>
      <c r="I55" s="20" t="s">
        <v>0</v>
      </c>
      <c r="J55" s="20">
        <v>20</v>
      </c>
      <c r="K55" s="56">
        <v>45485.638888888891</v>
      </c>
      <c r="L55" s="45" t="s">
        <v>74</v>
      </c>
      <c r="M55" s="21" t="s">
        <v>21</v>
      </c>
      <c r="N55" s="58">
        <v>45485.679166666669</v>
      </c>
      <c r="O55" s="48" t="s">
        <v>80</v>
      </c>
      <c r="P55" s="57">
        <f t="shared" si="7"/>
        <v>4.0277777778101154E-2</v>
      </c>
      <c r="Q55" s="21">
        <v>20</v>
      </c>
      <c r="R55" s="57" t="b">
        <f t="shared" si="6"/>
        <v>1</v>
      </c>
      <c r="S55" s="21" t="s">
        <v>67</v>
      </c>
      <c r="T55" s="10"/>
    </row>
    <row r="56" spans="1:20" x14ac:dyDescent="0.25">
      <c r="A56" s="42" t="s">
        <v>59</v>
      </c>
      <c r="B56" s="42" t="s">
        <v>34</v>
      </c>
      <c r="C56" s="43" t="s">
        <v>31</v>
      </c>
      <c r="D56" s="19" t="s">
        <v>1</v>
      </c>
      <c r="E56" s="19" t="s">
        <v>1</v>
      </c>
      <c r="F56" s="19">
        <v>90</v>
      </c>
      <c r="G56" s="19">
        <v>0</v>
      </c>
      <c r="H56" s="20" t="s">
        <v>21</v>
      </c>
      <c r="I56" s="20" t="s">
        <v>2</v>
      </c>
      <c r="J56" s="20">
        <v>20</v>
      </c>
      <c r="K56" s="56">
        <v>45485.711805555555</v>
      </c>
      <c r="L56" s="45" t="s">
        <v>81</v>
      </c>
      <c r="M56" s="21" t="s">
        <v>21</v>
      </c>
      <c r="N56" s="58">
        <v>45485.711805555555</v>
      </c>
      <c r="O56" s="48" t="s">
        <v>81</v>
      </c>
      <c r="P56" s="57">
        <f t="shared" si="7"/>
        <v>0</v>
      </c>
      <c r="Q56" s="21">
        <v>20</v>
      </c>
      <c r="R56" s="57" t="b">
        <f t="shared" si="6"/>
        <v>1</v>
      </c>
      <c r="S56" s="21" t="s">
        <v>67</v>
      </c>
      <c r="T56" s="10"/>
    </row>
  </sheetData>
  <mergeCells count="16">
    <mergeCell ref="A27:G27"/>
    <mergeCell ref="A46:T46"/>
    <mergeCell ref="A47:G47"/>
    <mergeCell ref="A2:G2"/>
    <mergeCell ref="A1:T1"/>
    <mergeCell ref="A13:T13"/>
    <mergeCell ref="A14:G14"/>
    <mergeCell ref="A26:T26"/>
    <mergeCell ref="H47:L47"/>
    <mergeCell ref="M47:T47"/>
    <mergeCell ref="H2:L2"/>
    <mergeCell ref="M2:T2"/>
    <mergeCell ref="H14:L14"/>
    <mergeCell ref="M14:T14"/>
    <mergeCell ref="H27:L27"/>
    <mergeCell ref="M27:T27"/>
  </mergeCells>
  <conditionalFormatting sqref="Q4:Q11">
    <cfRule type="cellIs" dxfId="65" priority="25" operator="notEqual">
      <formula>J4</formula>
    </cfRule>
    <cfRule type="cellIs" dxfId="64" priority="26" operator="equal">
      <formula>J4</formula>
    </cfRule>
  </conditionalFormatting>
  <conditionalFormatting sqref="S4:S11">
    <cfRule type="cellIs" dxfId="63" priority="23" operator="notEqual">
      <formula>"PASS"</formula>
    </cfRule>
    <cfRule type="cellIs" dxfId="62" priority="24" operator="equal">
      <formula>"PASS"</formula>
    </cfRule>
  </conditionalFormatting>
  <conditionalFormatting sqref="Q16:Q23">
    <cfRule type="cellIs" dxfId="61" priority="19" operator="notEqual">
      <formula>J16</formula>
    </cfRule>
    <cfRule type="cellIs" dxfId="60" priority="20" operator="equal">
      <formula>J16</formula>
    </cfRule>
  </conditionalFormatting>
  <conditionalFormatting sqref="S16:S23">
    <cfRule type="cellIs" dxfId="59" priority="17" operator="notEqual">
      <formula>"PASS"</formula>
    </cfRule>
    <cfRule type="cellIs" dxfId="58" priority="18" operator="equal">
      <formula>"PASS"</formula>
    </cfRule>
  </conditionalFormatting>
  <conditionalFormatting sqref="Q29:Q44">
    <cfRule type="cellIs" dxfId="57" priority="15" operator="notEqual">
      <formula>J29</formula>
    </cfRule>
    <cfRule type="cellIs" dxfId="56" priority="16" operator="equal">
      <formula>J29</formula>
    </cfRule>
  </conditionalFormatting>
  <conditionalFormatting sqref="S29:S44">
    <cfRule type="cellIs" dxfId="55" priority="13" operator="notEqual">
      <formula>"PASS"</formula>
    </cfRule>
    <cfRule type="cellIs" dxfId="54" priority="14" operator="equal">
      <formula>"PASS"</formula>
    </cfRule>
  </conditionalFormatting>
  <conditionalFormatting sqref="Q49:Q56">
    <cfRule type="cellIs" dxfId="53" priority="11" operator="notEqual">
      <formula>J49</formula>
    </cfRule>
    <cfRule type="cellIs" dxfId="52" priority="12" operator="equal">
      <formula>J49</formula>
    </cfRule>
  </conditionalFormatting>
  <conditionalFormatting sqref="S49:S56">
    <cfRule type="cellIs" dxfId="51" priority="9" operator="notEqual">
      <formula>"PASS"</formula>
    </cfRule>
    <cfRule type="cellIs" dxfId="50" priority="10" operator="equal">
      <formula>"PASS"</formula>
    </cfRule>
  </conditionalFormatting>
  <conditionalFormatting sqref="R4:R11">
    <cfRule type="cellIs" dxfId="49" priority="7" operator="notEqual">
      <formula>TRUE</formula>
    </cfRule>
    <cfRule type="cellIs" dxfId="48" priority="8" operator="equal">
      <formula>TRUE</formula>
    </cfRule>
  </conditionalFormatting>
  <conditionalFormatting sqref="R16:R23">
    <cfRule type="cellIs" dxfId="47" priority="5" operator="notEqual">
      <formula>TRUE</formula>
    </cfRule>
    <cfRule type="cellIs" dxfId="46" priority="6" operator="equal">
      <formula>TRUE</formula>
    </cfRule>
  </conditionalFormatting>
  <conditionalFormatting sqref="R29:R44">
    <cfRule type="cellIs" dxfId="45" priority="3" operator="notEqual">
      <formula>TRUE</formula>
    </cfRule>
    <cfRule type="cellIs" dxfId="44" priority="4" operator="equal">
      <formula>TRUE</formula>
    </cfRule>
  </conditionalFormatting>
  <conditionalFormatting sqref="R49:R56">
    <cfRule type="cellIs" dxfId="43" priority="1" operator="notEqual">
      <formula>TRUE</formula>
    </cfRule>
    <cfRule type="cellIs" dxfId="42" priority="2" operator="equal">
      <formula>TRUE</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FAD18-77EB-482B-987B-12D987D1DC74}">
  <dimension ref="A1:T60"/>
  <sheetViews>
    <sheetView topLeftCell="A3" zoomScaleNormal="100" workbookViewId="0">
      <selection activeCell="D24" sqref="D24:M25"/>
    </sheetView>
  </sheetViews>
  <sheetFormatPr defaultRowHeight="15" x14ac:dyDescent="0.25"/>
  <cols>
    <col min="1" max="1" width="11" bestFit="1" customWidth="1"/>
    <col min="2" max="2" width="9.7109375" style="16" bestFit="1" customWidth="1"/>
    <col min="3" max="3" width="9.7109375" style="17" bestFit="1" customWidth="1"/>
    <col min="4" max="4" width="14.42578125" style="18" bestFit="1" customWidth="1"/>
    <col min="5" max="5" width="15.28515625" style="18" bestFit="1" customWidth="1"/>
    <col min="6" max="6" width="16.85546875" style="18" bestFit="1" customWidth="1"/>
    <col min="7" max="7" width="17.5703125" style="18" customWidth="1"/>
    <col min="8" max="8" width="10.7109375" style="18" bestFit="1" customWidth="1"/>
    <col min="9" max="9" width="14.42578125" style="18" bestFit="1" customWidth="1"/>
    <col min="10" max="10" width="9.7109375" style="18" bestFit="1" customWidth="1"/>
    <col min="11" max="11" width="21.5703125" style="18" customWidth="1"/>
    <col min="12" max="12" width="25.7109375" style="18" bestFit="1" customWidth="1"/>
    <col min="13" max="13" width="25.7109375" style="18" customWidth="1"/>
    <col min="14" max="14" width="20.140625" style="18" customWidth="1"/>
    <col min="15" max="15" width="9.7109375" style="18" bestFit="1" customWidth="1"/>
    <col min="16" max="16" width="20.140625" style="18" customWidth="1"/>
    <col min="17" max="17" width="11.28515625" style="18" bestFit="1" customWidth="1"/>
    <col min="18" max="18" width="84.28515625" style="1" customWidth="1"/>
    <col min="19" max="19" width="102.140625" style="1" customWidth="1"/>
    <col min="20" max="20" width="83.7109375" style="1" customWidth="1"/>
  </cols>
  <sheetData>
    <row r="1" spans="1:20" x14ac:dyDescent="0.25">
      <c r="A1" s="81" t="s">
        <v>12</v>
      </c>
      <c r="B1" s="81"/>
      <c r="C1" s="81"/>
      <c r="D1" s="81"/>
      <c r="E1" s="81"/>
      <c r="F1" s="81"/>
      <c r="G1" s="81"/>
      <c r="H1" s="81"/>
      <c r="I1" s="81"/>
      <c r="J1" s="81"/>
      <c r="K1" s="81"/>
      <c r="L1" s="81"/>
      <c r="M1" s="81"/>
      <c r="N1" s="81"/>
      <c r="O1" s="81"/>
      <c r="P1" s="81"/>
      <c r="Q1" s="81"/>
      <c r="R1" s="82"/>
    </row>
    <row r="2" spans="1:20" x14ac:dyDescent="0.25">
      <c r="A2" s="79" t="s">
        <v>45</v>
      </c>
      <c r="B2" s="79"/>
      <c r="C2" s="79"/>
      <c r="D2" s="79"/>
      <c r="E2" s="79"/>
      <c r="F2" s="79"/>
      <c r="G2" s="80"/>
      <c r="H2" s="83" t="s">
        <v>5</v>
      </c>
      <c r="I2" s="83"/>
      <c r="J2" s="83"/>
      <c r="K2" s="83"/>
      <c r="L2" s="84" t="s">
        <v>9</v>
      </c>
      <c r="M2" s="84"/>
      <c r="N2" s="84"/>
      <c r="O2" s="84"/>
      <c r="P2" s="84"/>
      <c r="Q2" s="84"/>
      <c r="R2" s="84"/>
    </row>
    <row r="3" spans="1:20" s="22" customFormat="1" ht="45" x14ac:dyDescent="0.25">
      <c r="A3" s="51" t="s">
        <v>53</v>
      </c>
      <c r="B3" s="51" t="s">
        <v>29</v>
      </c>
      <c r="C3" s="51" t="s">
        <v>28</v>
      </c>
      <c r="D3" s="51" t="s">
        <v>35</v>
      </c>
      <c r="E3" s="51" t="s">
        <v>27</v>
      </c>
      <c r="F3" s="51" t="s">
        <v>36</v>
      </c>
      <c r="G3" s="51" t="s">
        <v>37</v>
      </c>
      <c r="H3" s="52" t="s">
        <v>39</v>
      </c>
      <c r="I3" s="52" t="s">
        <v>38</v>
      </c>
      <c r="J3" s="52" t="s">
        <v>44</v>
      </c>
      <c r="K3" s="52" t="s">
        <v>40</v>
      </c>
      <c r="L3" s="53" t="s">
        <v>39</v>
      </c>
      <c r="M3" s="47" t="s">
        <v>41</v>
      </c>
      <c r="N3" s="54" t="s">
        <v>38</v>
      </c>
      <c r="O3" s="54" t="s">
        <v>44</v>
      </c>
      <c r="P3" s="54" t="s">
        <v>100</v>
      </c>
      <c r="Q3" s="54" t="s">
        <v>42</v>
      </c>
      <c r="R3" s="53" t="s">
        <v>43</v>
      </c>
      <c r="S3" s="22" t="s">
        <v>97</v>
      </c>
      <c r="T3" s="22" t="s">
        <v>105</v>
      </c>
    </row>
    <row r="4" spans="1:20" x14ac:dyDescent="0.25">
      <c r="A4" s="24" t="s">
        <v>60</v>
      </c>
      <c r="B4" s="24" t="s">
        <v>30</v>
      </c>
      <c r="C4" s="25" t="s">
        <v>24</v>
      </c>
      <c r="D4" s="6" t="s">
        <v>1</v>
      </c>
      <c r="E4" s="19">
        <v>480</v>
      </c>
      <c r="F4" s="19">
        <v>30</v>
      </c>
      <c r="G4" s="19">
        <v>0</v>
      </c>
      <c r="H4" s="20" t="s">
        <v>16</v>
      </c>
      <c r="I4" s="20" t="s">
        <v>0</v>
      </c>
      <c r="J4" s="20">
        <v>20</v>
      </c>
      <c r="K4" s="56"/>
      <c r="L4" s="21" t="s">
        <v>16</v>
      </c>
      <c r="M4" s="58"/>
      <c r="N4" s="57">
        <f t="shared" ref="N4:N11" si="0">M4-K4</f>
        <v>0</v>
      </c>
      <c r="O4" s="21"/>
      <c r="P4" s="57" t="b">
        <f>IF(AND(I4="YES",N4&gt;0),TRUE,IF(AND(I4="NO",N4=0),FALSE,TRUE))</f>
        <v>1</v>
      </c>
      <c r="Q4" s="21" t="s">
        <v>67</v>
      </c>
      <c r="R4" s="10"/>
    </row>
    <row r="5" spans="1:20" ht="15.75" customHeight="1" x14ac:dyDescent="0.25">
      <c r="A5" s="24" t="s">
        <v>60</v>
      </c>
      <c r="B5" s="24" t="s">
        <v>30</v>
      </c>
      <c r="C5" s="25" t="s">
        <v>24</v>
      </c>
      <c r="D5" s="6" t="s">
        <v>1</v>
      </c>
      <c r="E5" s="19">
        <v>480</v>
      </c>
      <c r="F5" s="19">
        <v>30</v>
      </c>
      <c r="G5" s="19">
        <v>0</v>
      </c>
      <c r="H5" s="20" t="s">
        <v>16</v>
      </c>
      <c r="I5" s="20" t="s">
        <v>2</v>
      </c>
      <c r="J5" s="20">
        <v>20</v>
      </c>
      <c r="K5" s="56"/>
      <c r="L5" s="21" t="s">
        <v>16</v>
      </c>
      <c r="M5" s="58"/>
      <c r="N5" s="57">
        <f t="shared" si="0"/>
        <v>0</v>
      </c>
      <c r="O5" s="21"/>
      <c r="P5" s="57" t="b">
        <f t="shared" ref="P5:P11" si="1">IF(AND(I5="YES",N5&gt;0),TRUE,IF(AND(I5="NO",N5=0),TRUE,FALSE))</f>
        <v>1</v>
      </c>
      <c r="Q5" s="21" t="s">
        <v>68</v>
      </c>
      <c r="R5" s="10" t="s">
        <v>96</v>
      </c>
      <c r="S5" s="1" t="s">
        <v>99</v>
      </c>
      <c r="T5" s="1" t="s">
        <v>106</v>
      </c>
    </row>
    <row r="6" spans="1:20" ht="15.75" customHeight="1" x14ac:dyDescent="0.25">
      <c r="A6" s="24" t="s">
        <v>60</v>
      </c>
      <c r="B6" s="24" t="s">
        <v>30</v>
      </c>
      <c r="C6" s="25" t="s">
        <v>24</v>
      </c>
      <c r="D6" s="6" t="s">
        <v>1</v>
      </c>
      <c r="E6" s="19">
        <v>480</v>
      </c>
      <c r="F6" s="19">
        <v>30</v>
      </c>
      <c r="G6" s="19">
        <v>0</v>
      </c>
      <c r="H6" s="20" t="s">
        <v>21</v>
      </c>
      <c r="I6" s="20" t="s">
        <v>0</v>
      </c>
      <c r="J6" s="20">
        <v>20</v>
      </c>
      <c r="K6" s="56"/>
      <c r="L6" s="21" t="s">
        <v>21</v>
      </c>
      <c r="M6" s="58"/>
      <c r="N6" s="57">
        <v>0</v>
      </c>
      <c r="O6" s="21"/>
      <c r="P6" s="57" t="b">
        <v>0</v>
      </c>
      <c r="Q6" s="21" t="s">
        <v>68</v>
      </c>
      <c r="R6" s="10" t="s">
        <v>82</v>
      </c>
      <c r="S6" s="1" t="s">
        <v>99</v>
      </c>
      <c r="T6" s="1" t="s">
        <v>106</v>
      </c>
    </row>
    <row r="7" spans="1:20" ht="15.75" customHeight="1" x14ac:dyDescent="0.25">
      <c r="A7" s="24" t="s">
        <v>60</v>
      </c>
      <c r="B7" s="24" t="s">
        <v>30</v>
      </c>
      <c r="C7" s="25" t="s">
        <v>24</v>
      </c>
      <c r="D7" s="6" t="s">
        <v>1</v>
      </c>
      <c r="E7" s="19">
        <v>480</v>
      </c>
      <c r="F7" s="19">
        <v>30</v>
      </c>
      <c r="G7" s="19">
        <v>0</v>
      </c>
      <c r="H7" s="20" t="s">
        <v>21</v>
      </c>
      <c r="I7" s="20" t="s">
        <v>2</v>
      </c>
      <c r="J7" s="20">
        <v>20</v>
      </c>
      <c r="K7" s="56"/>
      <c r="L7" s="21" t="s">
        <v>21</v>
      </c>
      <c r="M7" s="58"/>
      <c r="N7" s="57">
        <v>0</v>
      </c>
      <c r="O7" s="21"/>
      <c r="P7" s="57" t="b">
        <v>1</v>
      </c>
      <c r="Q7" s="21" t="s">
        <v>68</v>
      </c>
      <c r="R7" s="10" t="s">
        <v>84</v>
      </c>
      <c r="S7" s="1" t="s">
        <v>99</v>
      </c>
      <c r="T7" s="1" t="s">
        <v>106</v>
      </c>
    </row>
    <row r="8" spans="1:20" x14ac:dyDescent="0.25">
      <c r="A8" s="24" t="s">
        <v>111</v>
      </c>
      <c r="B8" s="24"/>
      <c r="C8" s="25"/>
      <c r="D8" s="6"/>
      <c r="E8" s="19"/>
      <c r="F8" s="19"/>
      <c r="G8" s="19"/>
      <c r="H8" s="20"/>
      <c r="I8" s="20"/>
      <c r="J8" s="20"/>
      <c r="K8" s="56"/>
      <c r="L8" s="21"/>
      <c r="M8" s="58"/>
      <c r="N8" s="57"/>
      <c r="O8" s="21"/>
      <c r="P8" s="57"/>
      <c r="Q8" s="21"/>
      <c r="R8" s="10"/>
    </row>
    <row r="9" spans="1:20" x14ac:dyDescent="0.25">
      <c r="A9" s="24" t="s">
        <v>111</v>
      </c>
      <c r="B9" s="24"/>
      <c r="C9" s="25"/>
      <c r="D9" s="6"/>
      <c r="E9" s="19"/>
      <c r="F9" s="19"/>
      <c r="G9" s="19"/>
      <c r="H9" s="20"/>
      <c r="I9" s="20"/>
      <c r="J9" s="20"/>
      <c r="K9" s="56"/>
      <c r="L9" s="21"/>
      <c r="M9" s="58"/>
      <c r="N9" s="57"/>
      <c r="O9" s="21"/>
      <c r="P9" s="57"/>
      <c r="Q9" s="21"/>
      <c r="R9" s="10"/>
    </row>
    <row r="10" spans="1:20" x14ac:dyDescent="0.25">
      <c r="A10" s="26" t="s">
        <v>61</v>
      </c>
      <c r="B10" s="26" t="s">
        <v>30</v>
      </c>
      <c r="C10" s="27" t="s">
        <v>31</v>
      </c>
      <c r="D10" s="6" t="s">
        <v>1</v>
      </c>
      <c r="E10" s="19">
        <v>480</v>
      </c>
      <c r="F10" s="19">
        <v>30</v>
      </c>
      <c r="G10" s="19">
        <v>0</v>
      </c>
      <c r="H10" s="20" t="s">
        <v>16</v>
      </c>
      <c r="I10" s="20" t="s">
        <v>0</v>
      </c>
      <c r="J10" s="20">
        <v>20</v>
      </c>
      <c r="K10" s="56"/>
      <c r="L10" s="21" t="s">
        <v>16</v>
      </c>
      <c r="M10" s="58"/>
      <c r="N10" s="57">
        <f t="shared" si="0"/>
        <v>0</v>
      </c>
      <c r="O10" s="21"/>
      <c r="P10" s="57" t="b">
        <f t="shared" si="1"/>
        <v>0</v>
      </c>
      <c r="Q10" s="21" t="s">
        <v>67</v>
      </c>
      <c r="R10" s="10"/>
    </row>
    <row r="11" spans="1:20" ht="30" x14ac:dyDescent="0.25">
      <c r="A11" s="26" t="s">
        <v>61</v>
      </c>
      <c r="B11" s="26" t="s">
        <v>30</v>
      </c>
      <c r="C11" s="27" t="s">
        <v>31</v>
      </c>
      <c r="D11" s="6" t="s">
        <v>1</v>
      </c>
      <c r="E11" s="19">
        <v>480</v>
      </c>
      <c r="F11" s="19">
        <v>30</v>
      </c>
      <c r="G11" s="19">
        <v>0</v>
      </c>
      <c r="H11" s="20" t="s">
        <v>16</v>
      </c>
      <c r="I11" s="20" t="s">
        <v>2</v>
      </c>
      <c r="J11" s="20">
        <v>20</v>
      </c>
      <c r="K11" s="56"/>
      <c r="L11" s="21" t="s">
        <v>16</v>
      </c>
      <c r="M11" s="58"/>
      <c r="N11" s="57">
        <f t="shared" si="0"/>
        <v>0</v>
      </c>
      <c r="O11" s="21"/>
      <c r="P11" s="57" t="b">
        <f t="shared" si="1"/>
        <v>1</v>
      </c>
      <c r="Q11" s="21" t="s">
        <v>68</v>
      </c>
      <c r="R11" s="10" t="s">
        <v>76</v>
      </c>
      <c r="S11" s="1" t="s">
        <v>99</v>
      </c>
      <c r="T11" s="1" t="s">
        <v>106</v>
      </c>
    </row>
    <row r="12" spans="1:20" ht="30" x14ac:dyDescent="0.25">
      <c r="A12" s="26" t="s">
        <v>61</v>
      </c>
      <c r="B12" s="26" t="s">
        <v>30</v>
      </c>
      <c r="C12" s="27" t="s">
        <v>31</v>
      </c>
      <c r="D12" s="6" t="s">
        <v>1</v>
      </c>
      <c r="E12" s="19">
        <v>480</v>
      </c>
      <c r="F12" s="19">
        <v>30</v>
      </c>
      <c r="G12" s="19">
        <v>0</v>
      </c>
      <c r="H12" s="20" t="s">
        <v>21</v>
      </c>
      <c r="I12" s="20" t="s">
        <v>0</v>
      </c>
      <c r="J12" s="20">
        <v>20</v>
      </c>
      <c r="K12" s="56"/>
      <c r="L12" s="21" t="s">
        <v>21</v>
      </c>
      <c r="M12" s="58"/>
      <c r="N12" s="57">
        <v>0</v>
      </c>
      <c r="O12" s="21"/>
      <c r="P12" s="57" t="b">
        <v>0</v>
      </c>
      <c r="Q12" s="21" t="s">
        <v>68</v>
      </c>
      <c r="R12" s="10" t="s">
        <v>83</v>
      </c>
      <c r="S12" s="1" t="s">
        <v>99</v>
      </c>
      <c r="T12" s="1" t="s">
        <v>106</v>
      </c>
    </row>
    <row r="13" spans="1:20" ht="30" x14ac:dyDescent="0.25">
      <c r="A13" s="26" t="s">
        <v>61</v>
      </c>
      <c r="B13" s="26" t="s">
        <v>30</v>
      </c>
      <c r="C13" s="27" t="s">
        <v>31</v>
      </c>
      <c r="D13" s="6" t="s">
        <v>1</v>
      </c>
      <c r="E13" s="19">
        <v>480</v>
      </c>
      <c r="F13" s="19">
        <v>30</v>
      </c>
      <c r="G13" s="19">
        <v>0</v>
      </c>
      <c r="H13" s="20" t="s">
        <v>21</v>
      </c>
      <c r="I13" s="20" t="s">
        <v>2</v>
      </c>
      <c r="J13" s="20">
        <v>20</v>
      </c>
      <c r="K13" s="56"/>
      <c r="L13" s="21" t="s">
        <v>21</v>
      </c>
      <c r="M13" s="58"/>
      <c r="N13" s="57">
        <v>0</v>
      </c>
      <c r="O13" s="21"/>
      <c r="P13" s="57" t="b">
        <v>1</v>
      </c>
      <c r="Q13" s="21" t="s">
        <v>68</v>
      </c>
      <c r="R13" s="10" t="s">
        <v>85</v>
      </c>
      <c r="S13" s="1" t="s">
        <v>99</v>
      </c>
      <c r="T13" s="1" t="s">
        <v>106</v>
      </c>
    </row>
    <row r="14" spans="1:20" x14ac:dyDescent="0.25">
      <c r="A14" s="26" t="s">
        <v>112</v>
      </c>
      <c r="B14" s="26"/>
      <c r="C14" s="27"/>
      <c r="D14" s="6"/>
      <c r="E14" s="19"/>
      <c r="F14" s="19"/>
      <c r="G14" s="19"/>
      <c r="H14" s="20"/>
      <c r="I14" s="20"/>
      <c r="J14" s="20"/>
      <c r="K14" s="56"/>
      <c r="L14" s="21"/>
      <c r="M14" s="58"/>
      <c r="N14" s="57"/>
      <c r="O14" s="21"/>
      <c r="P14" s="57"/>
      <c r="Q14" s="21"/>
      <c r="R14" s="10"/>
    </row>
    <row r="15" spans="1:20" x14ac:dyDescent="0.25">
      <c r="A15" s="26" t="s">
        <v>112</v>
      </c>
      <c r="B15" s="26"/>
      <c r="C15" s="27"/>
      <c r="D15" s="6"/>
      <c r="E15" s="19"/>
      <c r="F15" s="19"/>
      <c r="G15" s="19"/>
      <c r="H15" s="20"/>
      <c r="I15" s="20"/>
      <c r="J15" s="20"/>
      <c r="K15" s="56"/>
      <c r="L15" s="21"/>
      <c r="M15" s="58"/>
      <c r="N15" s="57"/>
      <c r="O15" s="21"/>
      <c r="P15" s="57"/>
      <c r="Q15" s="21"/>
      <c r="R15" s="10"/>
    </row>
    <row r="17" spans="1:20" x14ac:dyDescent="0.25">
      <c r="A17" s="81" t="s">
        <v>51</v>
      </c>
      <c r="B17" s="81"/>
      <c r="C17" s="81"/>
      <c r="D17" s="81"/>
      <c r="E17" s="81"/>
      <c r="F17" s="81"/>
      <c r="G17" s="81"/>
      <c r="H17" s="81"/>
      <c r="I17" s="81"/>
      <c r="J17" s="81"/>
      <c r="K17" s="81"/>
      <c r="L17" s="81"/>
      <c r="M17" s="81"/>
      <c r="N17" s="81"/>
      <c r="O17" s="81"/>
      <c r="P17" s="81"/>
      <c r="Q17" s="81"/>
      <c r="R17" s="82"/>
    </row>
    <row r="18" spans="1:20" x14ac:dyDescent="0.25">
      <c r="A18" s="79" t="s">
        <v>45</v>
      </c>
      <c r="B18" s="79"/>
      <c r="C18" s="79"/>
      <c r="D18" s="79"/>
      <c r="E18" s="79"/>
      <c r="F18" s="79"/>
      <c r="G18" s="80"/>
      <c r="H18" s="83" t="s">
        <v>5</v>
      </c>
      <c r="I18" s="83"/>
      <c r="J18" s="83"/>
      <c r="K18" s="83"/>
      <c r="L18" s="84" t="s">
        <v>9</v>
      </c>
      <c r="M18" s="84"/>
      <c r="N18" s="84"/>
      <c r="O18" s="84"/>
      <c r="P18" s="84"/>
      <c r="Q18" s="84"/>
      <c r="R18" s="84"/>
    </row>
    <row r="19" spans="1:20" ht="45" x14ac:dyDescent="0.25">
      <c r="A19" s="51" t="s">
        <v>53</v>
      </c>
      <c r="B19" s="51" t="s">
        <v>29</v>
      </c>
      <c r="C19" s="51" t="s">
        <v>28</v>
      </c>
      <c r="D19" s="51" t="s">
        <v>35</v>
      </c>
      <c r="E19" s="51" t="s">
        <v>27</v>
      </c>
      <c r="F19" s="51" t="s">
        <v>36</v>
      </c>
      <c r="G19" s="51" t="s">
        <v>37</v>
      </c>
      <c r="H19" s="52" t="s">
        <v>39</v>
      </c>
      <c r="I19" s="52" t="s">
        <v>38</v>
      </c>
      <c r="J19" s="52" t="s">
        <v>44</v>
      </c>
      <c r="K19" s="52" t="s">
        <v>40</v>
      </c>
      <c r="L19" s="53" t="s">
        <v>39</v>
      </c>
      <c r="M19" s="53" t="s">
        <v>41</v>
      </c>
      <c r="N19" s="54" t="s">
        <v>95</v>
      </c>
      <c r="O19" s="54" t="s">
        <v>44</v>
      </c>
      <c r="P19" s="54" t="s">
        <v>95</v>
      </c>
      <c r="Q19" s="54" t="s">
        <v>42</v>
      </c>
      <c r="R19" s="53" t="s">
        <v>43</v>
      </c>
    </row>
    <row r="20" spans="1:20" ht="30" x14ac:dyDescent="0.25">
      <c r="A20" s="28" t="s">
        <v>63</v>
      </c>
      <c r="B20" s="28" t="s">
        <v>32</v>
      </c>
      <c r="C20" s="29" t="s">
        <v>24</v>
      </c>
      <c r="D20" s="6">
        <v>10</v>
      </c>
      <c r="E20" s="19">
        <v>15</v>
      </c>
      <c r="F20" s="19">
        <v>5</v>
      </c>
      <c r="G20" s="19">
        <v>0</v>
      </c>
      <c r="H20" s="20" t="s">
        <v>16</v>
      </c>
      <c r="I20" s="20" t="s">
        <v>0</v>
      </c>
      <c r="J20" s="20">
        <v>20</v>
      </c>
      <c r="K20" s="56">
        <v>45492.572916666664</v>
      </c>
      <c r="L20" s="21" t="s">
        <v>16</v>
      </c>
      <c r="M20" s="58">
        <v>45492.572916666664</v>
      </c>
      <c r="N20" s="57">
        <f t="shared" ref="N20:N27" si="2">M20-K20</f>
        <v>0</v>
      </c>
      <c r="O20" s="21">
        <v>20</v>
      </c>
      <c r="P20" s="57" t="b">
        <f t="shared" ref="P20:P27" si="3">IF(AND(I20="YES",N20&gt;0),TRUE,IF(AND(I20="NO",N20=0),TRUE,FALSE))</f>
        <v>0</v>
      </c>
      <c r="Q20" s="21" t="s">
        <v>68</v>
      </c>
      <c r="R20" s="10" t="s">
        <v>72</v>
      </c>
      <c r="S20" s="1" t="s">
        <v>98</v>
      </c>
      <c r="T20" s="1" t="s">
        <v>107</v>
      </c>
    </row>
    <row r="21" spans="1:20" x14ac:dyDescent="0.25">
      <c r="A21" s="28" t="s">
        <v>63</v>
      </c>
      <c r="B21" s="28" t="s">
        <v>32</v>
      </c>
      <c r="C21" s="29" t="s">
        <v>24</v>
      </c>
      <c r="D21" s="6">
        <v>10</v>
      </c>
      <c r="E21" s="19">
        <v>15</v>
      </c>
      <c r="F21" s="19">
        <v>5</v>
      </c>
      <c r="G21" s="19">
        <v>0</v>
      </c>
      <c r="H21" s="20" t="s">
        <v>16</v>
      </c>
      <c r="I21" s="20" t="s">
        <v>2</v>
      </c>
      <c r="J21" s="20">
        <v>20</v>
      </c>
      <c r="K21" s="56">
        <v>45492.701388888891</v>
      </c>
      <c r="L21" s="21" t="s">
        <v>16</v>
      </c>
      <c r="M21" s="58">
        <v>45492.701388888891</v>
      </c>
      <c r="N21" s="57">
        <f t="shared" si="2"/>
        <v>0</v>
      </c>
      <c r="O21" s="21"/>
      <c r="P21" s="57" t="b">
        <f t="shared" si="3"/>
        <v>1</v>
      </c>
      <c r="Q21" s="21" t="s">
        <v>67</v>
      </c>
      <c r="R21" s="10"/>
    </row>
    <row r="22" spans="1:20" ht="30" x14ac:dyDescent="0.25">
      <c r="A22" s="28" t="s">
        <v>63</v>
      </c>
      <c r="B22" s="28" t="s">
        <v>32</v>
      </c>
      <c r="C22" s="29" t="s">
        <v>24</v>
      </c>
      <c r="D22" s="6">
        <v>10</v>
      </c>
      <c r="E22" s="19">
        <v>15</v>
      </c>
      <c r="F22" s="19">
        <v>5</v>
      </c>
      <c r="G22" s="19">
        <v>0</v>
      </c>
      <c r="H22" s="20" t="s">
        <v>21</v>
      </c>
      <c r="I22" s="20" t="s">
        <v>0</v>
      </c>
      <c r="J22" s="20">
        <v>20</v>
      </c>
      <c r="K22" s="56"/>
      <c r="L22" s="21" t="s">
        <v>21</v>
      </c>
      <c r="M22" s="58"/>
      <c r="N22" s="57">
        <f t="shared" si="2"/>
        <v>0</v>
      </c>
      <c r="O22" s="21"/>
      <c r="P22" s="57" t="b">
        <f t="shared" si="3"/>
        <v>0</v>
      </c>
      <c r="Q22" s="21" t="s">
        <v>68</v>
      </c>
      <c r="R22" s="10" t="s">
        <v>78</v>
      </c>
      <c r="S22" s="1" t="s">
        <v>98</v>
      </c>
      <c r="T22" s="1" t="s">
        <v>107</v>
      </c>
    </row>
    <row r="23" spans="1:20" x14ac:dyDescent="0.25">
      <c r="A23" s="28" t="s">
        <v>63</v>
      </c>
      <c r="B23" s="28" t="s">
        <v>32</v>
      </c>
      <c r="C23" s="29" t="s">
        <v>24</v>
      </c>
      <c r="D23" s="6">
        <v>10</v>
      </c>
      <c r="E23" s="19">
        <v>15</v>
      </c>
      <c r="F23" s="19">
        <v>5</v>
      </c>
      <c r="G23" s="19">
        <v>0</v>
      </c>
      <c r="H23" s="20" t="s">
        <v>21</v>
      </c>
      <c r="I23" s="20" t="s">
        <v>2</v>
      </c>
      <c r="J23" s="20">
        <v>20</v>
      </c>
      <c r="K23" s="56"/>
      <c r="L23" s="21" t="s">
        <v>21</v>
      </c>
      <c r="M23" s="58"/>
      <c r="N23" s="57">
        <f t="shared" si="2"/>
        <v>0</v>
      </c>
      <c r="O23" s="21"/>
      <c r="P23" s="57" t="b">
        <f t="shared" si="3"/>
        <v>1</v>
      </c>
      <c r="Q23" s="21" t="s">
        <v>67</v>
      </c>
      <c r="R23" s="10"/>
    </row>
    <row r="24" spans="1:20" ht="30" x14ac:dyDescent="0.25">
      <c r="A24" s="30" t="s">
        <v>62</v>
      </c>
      <c r="B24" s="30" t="s">
        <v>32</v>
      </c>
      <c r="C24" s="31" t="s">
        <v>31</v>
      </c>
      <c r="D24" s="6">
        <v>10</v>
      </c>
      <c r="E24" s="19">
        <v>15</v>
      </c>
      <c r="F24" s="19">
        <v>5</v>
      </c>
      <c r="G24" s="19">
        <v>0</v>
      </c>
      <c r="H24" s="20" t="s">
        <v>16</v>
      </c>
      <c r="I24" s="20" t="s">
        <v>0</v>
      </c>
      <c r="J24" s="20">
        <v>20</v>
      </c>
      <c r="K24" s="56">
        <v>45492.572916666664</v>
      </c>
      <c r="L24" s="21" t="s">
        <v>16</v>
      </c>
      <c r="M24" s="58">
        <v>45492.572916666664</v>
      </c>
      <c r="N24" s="57">
        <f t="shared" si="2"/>
        <v>0</v>
      </c>
      <c r="O24" s="21"/>
      <c r="P24" s="57" t="b">
        <f t="shared" si="3"/>
        <v>0</v>
      </c>
      <c r="Q24" s="21" t="s">
        <v>68</v>
      </c>
      <c r="R24" s="10" t="s">
        <v>72</v>
      </c>
      <c r="S24" s="1" t="s">
        <v>98</v>
      </c>
      <c r="T24" s="1" t="s">
        <v>107</v>
      </c>
    </row>
    <row r="25" spans="1:20" x14ac:dyDescent="0.25">
      <c r="A25" s="30" t="s">
        <v>62</v>
      </c>
      <c r="B25" s="30" t="s">
        <v>32</v>
      </c>
      <c r="C25" s="31" t="s">
        <v>31</v>
      </c>
      <c r="D25" s="6">
        <v>10</v>
      </c>
      <c r="E25" s="19">
        <v>15</v>
      </c>
      <c r="F25" s="19">
        <v>5</v>
      </c>
      <c r="G25" s="19">
        <v>0</v>
      </c>
      <c r="H25" s="20" t="s">
        <v>16</v>
      </c>
      <c r="I25" s="20" t="s">
        <v>2</v>
      </c>
      <c r="J25" s="20">
        <v>20</v>
      </c>
      <c r="K25" s="56">
        <v>45492.701388888891</v>
      </c>
      <c r="L25" s="21" t="s">
        <v>16</v>
      </c>
      <c r="M25" s="58">
        <v>45492.701388888891</v>
      </c>
      <c r="N25" s="57">
        <f t="shared" si="2"/>
        <v>0</v>
      </c>
      <c r="O25" s="21"/>
      <c r="P25" s="57" t="b">
        <f t="shared" si="3"/>
        <v>1</v>
      </c>
      <c r="Q25" s="21" t="s">
        <v>67</v>
      </c>
      <c r="R25" s="10"/>
    </row>
    <row r="26" spans="1:20" ht="30" x14ac:dyDescent="0.25">
      <c r="A26" s="30" t="s">
        <v>62</v>
      </c>
      <c r="B26" s="30" t="s">
        <v>32</v>
      </c>
      <c r="C26" s="31" t="s">
        <v>31</v>
      </c>
      <c r="D26" s="6">
        <v>10</v>
      </c>
      <c r="E26" s="19">
        <v>15</v>
      </c>
      <c r="F26" s="19">
        <v>5</v>
      </c>
      <c r="G26" s="19">
        <v>0</v>
      </c>
      <c r="H26" s="20" t="s">
        <v>21</v>
      </c>
      <c r="I26" s="20" t="s">
        <v>0</v>
      </c>
      <c r="J26" s="20">
        <v>20</v>
      </c>
      <c r="K26" s="56"/>
      <c r="L26" s="21" t="s">
        <v>21</v>
      </c>
      <c r="M26" s="58"/>
      <c r="N26" s="57">
        <f t="shared" si="2"/>
        <v>0</v>
      </c>
      <c r="O26" s="21"/>
      <c r="P26" s="57" t="b">
        <f t="shared" si="3"/>
        <v>0</v>
      </c>
      <c r="Q26" s="21" t="s">
        <v>68</v>
      </c>
      <c r="R26" s="10" t="s">
        <v>86</v>
      </c>
      <c r="S26" s="1" t="s">
        <v>101</v>
      </c>
      <c r="T26" s="1" t="s">
        <v>108</v>
      </c>
    </row>
    <row r="27" spans="1:20" ht="30" x14ac:dyDescent="0.25">
      <c r="A27" s="30" t="s">
        <v>62</v>
      </c>
      <c r="B27" s="30" t="s">
        <v>32</v>
      </c>
      <c r="C27" s="31" t="s">
        <v>31</v>
      </c>
      <c r="D27" s="6">
        <v>10</v>
      </c>
      <c r="E27" s="19">
        <v>15</v>
      </c>
      <c r="F27" s="19">
        <v>5</v>
      </c>
      <c r="G27" s="19">
        <v>0</v>
      </c>
      <c r="H27" s="20" t="s">
        <v>21</v>
      </c>
      <c r="I27" s="20" t="s">
        <v>2</v>
      </c>
      <c r="J27" s="20">
        <v>20</v>
      </c>
      <c r="K27" s="56"/>
      <c r="L27" s="21" t="s">
        <v>21</v>
      </c>
      <c r="M27" s="58"/>
      <c r="N27" s="57">
        <f t="shared" si="2"/>
        <v>0</v>
      </c>
      <c r="O27" s="21"/>
      <c r="P27" s="57" t="b">
        <f t="shared" si="3"/>
        <v>1</v>
      </c>
      <c r="Q27" s="21" t="s">
        <v>68</v>
      </c>
      <c r="R27" s="10" t="s">
        <v>87</v>
      </c>
      <c r="S27" s="1" t="s">
        <v>101</v>
      </c>
      <c r="T27" s="1" t="s">
        <v>108</v>
      </c>
    </row>
    <row r="30" spans="1:20" x14ac:dyDescent="0.25">
      <c r="A30" s="81" t="s">
        <v>52</v>
      </c>
      <c r="B30" s="81"/>
      <c r="C30" s="81"/>
      <c r="D30" s="81"/>
      <c r="E30" s="81"/>
      <c r="F30" s="81"/>
      <c r="G30" s="81"/>
      <c r="H30" s="81"/>
      <c r="I30" s="81"/>
      <c r="J30" s="81"/>
      <c r="K30" s="81"/>
      <c r="L30" s="81"/>
      <c r="M30" s="81"/>
      <c r="N30" s="81"/>
      <c r="O30" s="81"/>
      <c r="P30" s="81"/>
      <c r="Q30" s="81"/>
      <c r="R30" s="82"/>
    </row>
    <row r="31" spans="1:20" x14ac:dyDescent="0.25">
      <c r="A31" s="79" t="s">
        <v>45</v>
      </c>
      <c r="B31" s="79"/>
      <c r="C31" s="79"/>
      <c r="D31" s="79"/>
      <c r="E31" s="79"/>
      <c r="F31" s="79"/>
      <c r="G31" s="80"/>
      <c r="H31" s="83" t="s">
        <v>5</v>
      </c>
      <c r="I31" s="83"/>
      <c r="J31" s="83"/>
      <c r="K31" s="83"/>
      <c r="L31" s="84" t="s">
        <v>9</v>
      </c>
      <c r="M31" s="84"/>
      <c r="N31" s="84"/>
      <c r="O31" s="84"/>
      <c r="P31" s="84"/>
      <c r="Q31" s="84"/>
      <c r="R31" s="84"/>
    </row>
    <row r="32" spans="1:20" ht="45" x14ac:dyDescent="0.25">
      <c r="A32" s="51" t="s">
        <v>53</v>
      </c>
      <c r="B32" s="51" t="s">
        <v>29</v>
      </c>
      <c r="C32" s="51" t="s">
        <v>28</v>
      </c>
      <c r="D32" s="51" t="s">
        <v>35</v>
      </c>
      <c r="E32" s="51" t="s">
        <v>27</v>
      </c>
      <c r="F32" s="51" t="s">
        <v>36</v>
      </c>
      <c r="G32" s="51" t="s">
        <v>37</v>
      </c>
      <c r="H32" s="52" t="s">
        <v>39</v>
      </c>
      <c r="I32" s="52" t="s">
        <v>38</v>
      </c>
      <c r="J32" s="52" t="s">
        <v>44</v>
      </c>
      <c r="K32" s="52"/>
      <c r="L32" s="53" t="s">
        <v>39</v>
      </c>
      <c r="M32" s="53"/>
      <c r="N32" s="54" t="s">
        <v>95</v>
      </c>
      <c r="O32" s="54" t="s">
        <v>44</v>
      </c>
      <c r="P32" s="54" t="s">
        <v>95</v>
      </c>
      <c r="Q32" s="54" t="s">
        <v>42</v>
      </c>
      <c r="R32" s="53" t="s">
        <v>43</v>
      </c>
    </row>
    <row r="33" spans="1:20" ht="30" x14ac:dyDescent="0.25">
      <c r="A33" s="32" t="s">
        <v>54</v>
      </c>
      <c r="B33" s="32" t="s">
        <v>32</v>
      </c>
      <c r="C33" s="33" t="s">
        <v>24</v>
      </c>
      <c r="D33" s="6">
        <v>0</v>
      </c>
      <c r="E33" s="19">
        <v>480</v>
      </c>
      <c r="F33" s="19">
        <v>30</v>
      </c>
      <c r="G33" s="19">
        <v>0</v>
      </c>
      <c r="H33" s="20" t="s">
        <v>16</v>
      </c>
      <c r="I33" s="20" t="s">
        <v>0</v>
      </c>
      <c r="J33" s="20">
        <v>20</v>
      </c>
      <c r="K33" s="56"/>
      <c r="L33" s="21" t="s">
        <v>16</v>
      </c>
      <c r="M33" s="58"/>
      <c r="N33" s="57">
        <f t="shared" ref="N33:N48" si="4">M33-K33</f>
        <v>0</v>
      </c>
      <c r="O33" s="21"/>
      <c r="P33" s="57" t="b">
        <f t="shared" ref="P33:P48" si="5">IF(AND(I33="YES",N33&gt;0),TRUE,IF(AND(I33="NO",N33=0),TRUE,FALSE))</f>
        <v>0</v>
      </c>
      <c r="Q33" s="21" t="s">
        <v>68</v>
      </c>
      <c r="R33" s="10" t="s">
        <v>72</v>
      </c>
      <c r="S33" s="1" t="s">
        <v>98</v>
      </c>
      <c r="T33" s="1" t="s">
        <v>107</v>
      </c>
    </row>
    <row r="34" spans="1:20" x14ac:dyDescent="0.25">
      <c r="A34" s="32" t="s">
        <v>54</v>
      </c>
      <c r="B34" s="32" t="s">
        <v>32</v>
      </c>
      <c r="C34" s="33" t="s">
        <v>24</v>
      </c>
      <c r="D34" s="6">
        <v>0</v>
      </c>
      <c r="E34" s="19">
        <v>480</v>
      </c>
      <c r="F34" s="19">
        <v>30</v>
      </c>
      <c r="G34" s="19">
        <v>0</v>
      </c>
      <c r="H34" s="20" t="s">
        <v>16</v>
      </c>
      <c r="I34" s="20" t="s">
        <v>2</v>
      </c>
      <c r="J34" s="20">
        <v>20</v>
      </c>
      <c r="K34" s="56"/>
      <c r="L34" s="21" t="s">
        <v>16</v>
      </c>
      <c r="M34" s="58"/>
      <c r="N34" s="57">
        <f t="shared" si="4"/>
        <v>0</v>
      </c>
      <c r="O34" s="21"/>
      <c r="P34" s="57" t="b">
        <f t="shared" si="5"/>
        <v>1</v>
      </c>
      <c r="Q34" s="21" t="s">
        <v>67</v>
      </c>
      <c r="R34" s="10"/>
    </row>
    <row r="35" spans="1:20" ht="30" x14ac:dyDescent="0.25">
      <c r="A35" s="32" t="s">
        <v>54</v>
      </c>
      <c r="B35" s="32" t="s">
        <v>32</v>
      </c>
      <c r="C35" s="33" t="s">
        <v>24</v>
      </c>
      <c r="D35" s="6">
        <v>0</v>
      </c>
      <c r="E35" s="19">
        <v>480</v>
      </c>
      <c r="F35" s="19">
        <v>30</v>
      </c>
      <c r="G35" s="19">
        <v>0</v>
      </c>
      <c r="H35" s="20" t="s">
        <v>21</v>
      </c>
      <c r="I35" s="20" t="s">
        <v>0</v>
      </c>
      <c r="J35" s="20">
        <v>20</v>
      </c>
      <c r="K35" s="56">
        <v>45490.493055555555</v>
      </c>
      <c r="L35" s="21" t="s">
        <v>21</v>
      </c>
      <c r="M35" s="58">
        <v>45490.493055555555</v>
      </c>
      <c r="N35" s="57">
        <f t="shared" si="4"/>
        <v>0</v>
      </c>
      <c r="O35" s="21">
        <v>20</v>
      </c>
      <c r="P35" s="57" t="b">
        <f t="shared" si="5"/>
        <v>0</v>
      </c>
      <c r="Q35" s="21" t="s">
        <v>68</v>
      </c>
      <c r="R35" s="10" t="s">
        <v>78</v>
      </c>
      <c r="S35" s="1" t="s">
        <v>98</v>
      </c>
      <c r="T35" s="1" t="s">
        <v>107</v>
      </c>
    </row>
    <row r="36" spans="1:20" ht="30" x14ac:dyDescent="0.25">
      <c r="A36" s="32" t="s">
        <v>54</v>
      </c>
      <c r="B36" s="32" t="s">
        <v>32</v>
      </c>
      <c r="C36" s="33" t="s">
        <v>24</v>
      </c>
      <c r="D36" s="6">
        <v>0</v>
      </c>
      <c r="E36" s="19">
        <v>480</v>
      </c>
      <c r="F36" s="19">
        <v>30</v>
      </c>
      <c r="G36" s="19">
        <v>0</v>
      </c>
      <c r="H36" s="20" t="s">
        <v>21</v>
      </c>
      <c r="I36" s="20" t="s">
        <v>2</v>
      </c>
      <c r="J36" s="20">
        <v>20</v>
      </c>
      <c r="K36" s="56">
        <v>45490.621527777781</v>
      </c>
      <c r="L36" s="21" t="s">
        <v>21</v>
      </c>
      <c r="M36" s="58">
        <v>45490.621527777781</v>
      </c>
      <c r="N36" s="57">
        <f t="shared" si="4"/>
        <v>0</v>
      </c>
      <c r="O36" s="21">
        <v>20</v>
      </c>
      <c r="P36" s="57" t="b">
        <f t="shared" si="5"/>
        <v>1</v>
      </c>
      <c r="Q36" s="21" t="s">
        <v>67</v>
      </c>
      <c r="R36" s="10" t="s">
        <v>88</v>
      </c>
      <c r="S36" s="1" t="s">
        <v>102</v>
      </c>
      <c r="T36" s="1" t="s">
        <v>109</v>
      </c>
    </row>
    <row r="37" spans="1:20" ht="30" x14ac:dyDescent="0.25">
      <c r="A37" s="34" t="s">
        <v>55</v>
      </c>
      <c r="B37" s="34" t="s">
        <v>32</v>
      </c>
      <c r="C37" s="35" t="s">
        <v>31</v>
      </c>
      <c r="D37" s="6">
        <v>0</v>
      </c>
      <c r="E37" s="19">
        <v>480</v>
      </c>
      <c r="F37" s="19">
        <v>30</v>
      </c>
      <c r="G37" s="19">
        <v>0</v>
      </c>
      <c r="H37" s="20" t="s">
        <v>16</v>
      </c>
      <c r="I37" s="20" t="s">
        <v>0</v>
      </c>
      <c r="J37" s="20">
        <v>20</v>
      </c>
      <c r="K37" s="56"/>
      <c r="L37" s="21" t="s">
        <v>64</v>
      </c>
      <c r="M37" s="58"/>
      <c r="N37" s="57">
        <f t="shared" si="4"/>
        <v>0</v>
      </c>
      <c r="O37" s="21"/>
      <c r="P37" s="57" t="b">
        <f t="shared" si="5"/>
        <v>0</v>
      </c>
      <c r="Q37" s="21" t="s">
        <v>68</v>
      </c>
      <c r="R37" s="10" t="s">
        <v>72</v>
      </c>
      <c r="S37" s="1" t="s">
        <v>98</v>
      </c>
      <c r="T37" s="1" t="s">
        <v>107</v>
      </c>
    </row>
    <row r="38" spans="1:20" x14ac:dyDescent="0.25">
      <c r="A38" s="34" t="s">
        <v>55</v>
      </c>
      <c r="B38" s="34" t="s">
        <v>32</v>
      </c>
      <c r="C38" s="35" t="s">
        <v>31</v>
      </c>
      <c r="D38" s="6">
        <v>0</v>
      </c>
      <c r="E38" s="19">
        <v>480</v>
      </c>
      <c r="F38" s="19">
        <v>30</v>
      </c>
      <c r="G38" s="19">
        <v>0</v>
      </c>
      <c r="H38" s="20" t="s">
        <v>16</v>
      </c>
      <c r="I38" s="20" t="s">
        <v>2</v>
      </c>
      <c r="J38" s="20">
        <v>20</v>
      </c>
      <c r="K38" s="56"/>
      <c r="L38" s="21" t="s">
        <v>16</v>
      </c>
      <c r="M38" s="58"/>
      <c r="N38" s="57">
        <f t="shared" si="4"/>
        <v>0</v>
      </c>
      <c r="O38" s="21"/>
      <c r="P38" s="57" t="b">
        <f t="shared" si="5"/>
        <v>1</v>
      </c>
      <c r="Q38" s="21" t="s">
        <v>67</v>
      </c>
      <c r="R38" s="10"/>
    </row>
    <row r="39" spans="1:20" ht="30" x14ac:dyDescent="0.25">
      <c r="A39" s="34" t="s">
        <v>55</v>
      </c>
      <c r="B39" s="34" t="s">
        <v>32</v>
      </c>
      <c r="C39" s="35" t="s">
        <v>31</v>
      </c>
      <c r="D39" s="6">
        <v>0</v>
      </c>
      <c r="E39" s="19">
        <v>480</v>
      </c>
      <c r="F39" s="19">
        <v>30</v>
      </c>
      <c r="G39" s="19">
        <v>0</v>
      </c>
      <c r="H39" s="20" t="s">
        <v>21</v>
      </c>
      <c r="I39" s="20" t="s">
        <v>0</v>
      </c>
      <c r="J39" s="20">
        <v>20</v>
      </c>
      <c r="K39" s="56">
        <v>45490.493055555555</v>
      </c>
      <c r="L39" s="21" t="s">
        <v>21</v>
      </c>
      <c r="M39" s="58">
        <v>45490.493055555555</v>
      </c>
      <c r="N39" s="57">
        <f t="shared" si="4"/>
        <v>0</v>
      </c>
      <c r="O39" s="21">
        <v>29</v>
      </c>
      <c r="P39" s="57" t="b">
        <f t="shared" si="5"/>
        <v>0</v>
      </c>
      <c r="Q39" s="21" t="s">
        <v>68</v>
      </c>
      <c r="R39" s="10" t="s">
        <v>78</v>
      </c>
      <c r="S39" s="1" t="s">
        <v>103</v>
      </c>
      <c r="T39" s="1" t="s">
        <v>109</v>
      </c>
    </row>
    <row r="40" spans="1:20" ht="30" x14ac:dyDescent="0.25">
      <c r="A40" s="34" t="s">
        <v>55</v>
      </c>
      <c r="B40" s="34" t="s">
        <v>32</v>
      </c>
      <c r="C40" s="35" t="s">
        <v>31</v>
      </c>
      <c r="D40" s="6">
        <v>0</v>
      </c>
      <c r="E40" s="19">
        <v>480</v>
      </c>
      <c r="F40" s="19">
        <v>30</v>
      </c>
      <c r="G40" s="19">
        <v>0</v>
      </c>
      <c r="H40" s="20" t="s">
        <v>21</v>
      </c>
      <c r="I40" s="20" t="s">
        <v>2</v>
      </c>
      <c r="J40" s="20">
        <v>20</v>
      </c>
      <c r="K40" s="56">
        <v>45490.621527777781</v>
      </c>
      <c r="L40" s="21" t="s">
        <v>21</v>
      </c>
      <c r="M40" s="58">
        <v>45490.621527777781</v>
      </c>
      <c r="N40" s="57">
        <f t="shared" si="4"/>
        <v>0</v>
      </c>
      <c r="O40" s="21">
        <v>29</v>
      </c>
      <c r="P40" s="57" t="b">
        <f t="shared" si="5"/>
        <v>1</v>
      </c>
      <c r="Q40" s="21" t="s">
        <v>67</v>
      </c>
      <c r="R40" s="10"/>
      <c r="S40" s="1" t="s">
        <v>103</v>
      </c>
      <c r="T40" s="1" t="s">
        <v>109</v>
      </c>
    </row>
    <row r="41" spans="1:20" ht="30" x14ac:dyDescent="0.25">
      <c r="A41" s="36" t="s">
        <v>56</v>
      </c>
      <c r="B41" s="36" t="s">
        <v>33</v>
      </c>
      <c r="C41" s="37" t="s">
        <v>49</v>
      </c>
      <c r="D41" s="6">
        <v>0</v>
      </c>
      <c r="E41" s="19">
        <v>480</v>
      </c>
      <c r="F41" s="19">
        <v>30</v>
      </c>
      <c r="G41" s="19">
        <v>0</v>
      </c>
      <c r="H41" s="20" t="s">
        <v>16</v>
      </c>
      <c r="I41" s="20" t="s">
        <v>0</v>
      </c>
      <c r="J41" s="20">
        <v>20</v>
      </c>
      <c r="K41" s="56"/>
      <c r="L41" s="21" t="s">
        <v>16</v>
      </c>
      <c r="M41" s="58"/>
      <c r="N41" s="57">
        <f t="shared" si="4"/>
        <v>0</v>
      </c>
      <c r="O41" s="21"/>
      <c r="P41" s="57" t="b">
        <f t="shared" si="5"/>
        <v>0</v>
      </c>
      <c r="Q41" s="21" t="s">
        <v>68</v>
      </c>
      <c r="R41" s="10" t="s">
        <v>93</v>
      </c>
      <c r="S41" s="1" t="s">
        <v>110</v>
      </c>
      <c r="T41" s="1" t="s">
        <v>110</v>
      </c>
    </row>
    <row r="42" spans="1:20" x14ac:dyDescent="0.25">
      <c r="A42" s="36" t="s">
        <v>56</v>
      </c>
      <c r="B42" s="36" t="s">
        <v>33</v>
      </c>
      <c r="C42" s="37" t="s">
        <v>49</v>
      </c>
      <c r="D42" s="6">
        <v>0</v>
      </c>
      <c r="E42" s="19">
        <v>480</v>
      </c>
      <c r="F42" s="19">
        <v>30</v>
      </c>
      <c r="G42" s="19">
        <v>0</v>
      </c>
      <c r="H42" s="20" t="s">
        <v>16</v>
      </c>
      <c r="I42" s="20" t="s">
        <v>2</v>
      </c>
      <c r="J42" s="20">
        <v>20</v>
      </c>
      <c r="K42" s="56"/>
      <c r="L42" s="21" t="s">
        <v>16</v>
      </c>
      <c r="M42" s="58"/>
      <c r="N42" s="57">
        <f t="shared" si="4"/>
        <v>0</v>
      </c>
      <c r="O42" s="21"/>
      <c r="P42" s="57" t="b">
        <f t="shared" si="5"/>
        <v>1</v>
      </c>
      <c r="Q42" s="21" t="s">
        <v>68</v>
      </c>
      <c r="R42" s="10" t="s">
        <v>94</v>
      </c>
      <c r="S42" s="1" t="s">
        <v>110</v>
      </c>
      <c r="T42" s="1" t="s">
        <v>110</v>
      </c>
    </row>
    <row r="43" spans="1:20" ht="30" x14ac:dyDescent="0.25">
      <c r="A43" s="36" t="s">
        <v>56</v>
      </c>
      <c r="B43" s="36" t="s">
        <v>33</v>
      </c>
      <c r="C43" s="37" t="s">
        <v>49</v>
      </c>
      <c r="D43" s="6">
        <v>0</v>
      </c>
      <c r="E43" s="19">
        <v>480</v>
      </c>
      <c r="F43" s="19">
        <v>30</v>
      </c>
      <c r="G43" s="19">
        <v>0</v>
      </c>
      <c r="H43" s="20" t="s">
        <v>21</v>
      </c>
      <c r="I43" s="20" t="s">
        <v>0</v>
      </c>
      <c r="J43" s="20">
        <v>20</v>
      </c>
      <c r="K43" s="56"/>
      <c r="L43" s="21" t="s">
        <v>21</v>
      </c>
      <c r="M43" s="58"/>
      <c r="N43" s="57">
        <f t="shared" si="4"/>
        <v>0</v>
      </c>
      <c r="O43" s="21"/>
      <c r="P43" s="57" t="b">
        <f t="shared" si="5"/>
        <v>0</v>
      </c>
      <c r="Q43" s="21" t="s">
        <v>68</v>
      </c>
      <c r="R43" s="10" t="s">
        <v>90</v>
      </c>
      <c r="S43" s="1" t="s">
        <v>110</v>
      </c>
      <c r="T43" s="1" t="s">
        <v>110</v>
      </c>
    </row>
    <row r="44" spans="1:20" ht="30" x14ac:dyDescent="0.25">
      <c r="A44" s="36" t="s">
        <v>56</v>
      </c>
      <c r="B44" s="36" t="s">
        <v>33</v>
      </c>
      <c r="C44" s="37" t="s">
        <v>49</v>
      </c>
      <c r="D44" s="6">
        <v>0</v>
      </c>
      <c r="E44" s="19">
        <v>480</v>
      </c>
      <c r="F44" s="19">
        <v>30</v>
      </c>
      <c r="G44" s="19">
        <v>0</v>
      </c>
      <c r="H44" s="20" t="s">
        <v>21</v>
      </c>
      <c r="I44" s="20" t="s">
        <v>2</v>
      </c>
      <c r="J44" s="20">
        <v>20</v>
      </c>
      <c r="K44" s="56"/>
      <c r="L44" s="21" t="s">
        <v>21</v>
      </c>
      <c r="M44" s="58"/>
      <c r="N44" s="57">
        <f t="shared" si="4"/>
        <v>0</v>
      </c>
      <c r="O44" s="21"/>
      <c r="P44" s="57" t="b">
        <f t="shared" si="5"/>
        <v>1</v>
      </c>
      <c r="Q44" s="21" t="s">
        <v>68</v>
      </c>
      <c r="R44" s="10" t="s">
        <v>90</v>
      </c>
      <c r="S44" s="1" t="s">
        <v>110</v>
      </c>
      <c r="T44" s="1" t="s">
        <v>110</v>
      </c>
    </row>
    <row r="45" spans="1:20" ht="30" x14ac:dyDescent="0.25">
      <c r="A45" s="38" t="s">
        <v>57</v>
      </c>
      <c r="B45" s="38" t="s">
        <v>33</v>
      </c>
      <c r="C45" s="39" t="s">
        <v>31</v>
      </c>
      <c r="D45" s="6">
        <v>0</v>
      </c>
      <c r="E45" s="19">
        <v>480</v>
      </c>
      <c r="F45" s="19">
        <v>30</v>
      </c>
      <c r="G45" s="19">
        <v>0</v>
      </c>
      <c r="H45" s="20" t="s">
        <v>16</v>
      </c>
      <c r="I45" s="20" t="s">
        <v>0</v>
      </c>
      <c r="J45" s="20">
        <v>20</v>
      </c>
      <c r="K45" s="56"/>
      <c r="L45" s="21" t="s">
        <v>16</v>
      </c>
      <c r="M45" s="58"/>
      <c r="N45" s="57">
        <f t="shared" si="4"/>
        <v>0</v>
      </c>
      <c r="O45" s="21"/>
      <c r="P45" s="57" t="b">
        <f t="shared" si="5"/>
        <v>0</v>
      </c>
      <c r="Q45" s="21" t="s">
        <v>68</v>
      </c>
      <c r="R45" s="10" t="s">
        <v>72</v>
      </c>
      <c r="S45" s="1" t="s">
        <v>104</v>
      </c>
      <c r="T45" s="1" t="s">
        <v>107</v>
      </c>
    </row>
    <row r="46" spans="1:20" x14ac:dyDescent="0.25">
      <c r="A46" s="38" t="s">
        <v>57</v>
      </c>
      <c r="B46" s="38" t="s">
        <v>33</v>
      </c>
      <c r="C46" s="39" t="s">
        <v>31</v>
      </c>
      <c r="D46" s="6">
        <v>0</v>
      </c>
      <c r="E46" s="19">
        <v>480</v>
      </c>
      <c r="F46" s="19">
        <v>30</v>
      </c>
      <c r="G46" s="19">
        <v>0</v>
      </c>
      <c r="H46" s="20" t="s">
        <v>16</v>
      </c>
      <c r="I46" s="20" t="s">
        <v>2</v>
      </c>
      <c r="J46" s="20">
        <v>20</v>
      </c>
      <c r="K46" s="56"/>
      <c r="L46" s="21" t="s">
        <v>16</v>
      </c>
      <c r="M46" s="58"/>
      <c r="N46" s="57">
        <f t="shared" si="4"/>
        <v>0</v>
      </c>
      <c r="O46" s="21"/>
      <c r="P46" s="57" t="b">
        <f t="shared" si="5"/>
        <v>1</v>
      </c>
      <c r="Q46" s="21" t="s">
        <v>67</v>
      </c>
      <c r="R46" s="10"/>
    </row>
    <row r="47" spans="1:20" ht="30" x14ac:dyDescent="0.25">
      <c r="A47" s="38" t="s">
        <v>57</v>
      </c>
      <c r="B47" s="38" t="s">
        <v>33</v>
      </c>
      <c r="C47" s="39" t="s">
        <v>31</v>
      </c>
      <c r="D47" s="6">
        <v>0</v>
      </c>
      <c r="E47" s="19">
        <v>480</v>
      </c>
      <c r="F47" s="19">
        <v>30</v>
      </c>
      <c r="G47" s="19">
        <v>0</v>
      </c>
      <c r="H47" s="20" t="s">
        <v>21</v>
      </c>
      <c r="I47" s="20" t="s">
        <v>0</v>
      </c>
      <c r="J47" s="20">
        <v>20</v>
      </c>
      <c r="K47" s="56"/>
      <c r="L47" s="21" t="s">
        <v>21</v>
      </c>
      <c r="M47" s="58"/>
      <c r="N47" s="57">
        <f t="shared" si="4"/>
        <v>0</v>
      </c>
      <c r="O47" s="21"/>
      <c r="P47" s="57" t="b">
        <f t="shared" si="5"/>
        <v>0</v>
      </c>
      <c r="Q47" s="21" t="s">
        <v>68</v>
      </c>
      <c r="R47" s="10" t="s">
        <v>78</v>
      </c>
      <c r="S47" s="1" t="s">
        <v>104</v>
      </c>
      <c r="T47" s="1" t="s">
        <v>107</v>
      </c>
    </row>
    <row r="48" spans="1:20" x14ac:dyDescent="0.25">
      <c r="A48" s="38" t="s">
        <v>57</v>
      </c>
      <c r="B48" s="38" t="s">
        <v>33</v>
      </c>
      <c r="C48" s="39" t="s">
        <v>31</v>
      </c>
      <c r="D48" s="6">
        <v>0</v>
      </c>
      <c r="E48" s="19">
        <v>480</v>
      </c>
      <c r="F48" s="19">
        <v>30</v>
      </c>
      <c r="G48" s="19">
        <v>0</v>
      </c>
      <c r="H48" s="20" t="s">
        <v>21</v>
      </c>
      <c r="I48" s="20" t="s">
        <v>2</v>
      </c>
      <c r="J48" s="20">
        <v>20</v>
      </c>
      <c r="K48" s="56"/>
      <c r="L48" s="21" t="s">
        <v>21</v>
      </c>
      <c r="M48" s="58"/>
      <c r="N48" s="57">
        <f t="shared" si="4"/>
        <v>0</v>
      </c>
      <c r="O48" s="21"/>
      <c r="P48" s="57" t="b">
        <f t="shared" si="5"/>
        <v>1</v>
      </c>
      <c r="Q48" s="21" t="s">
        <v>67</v>
      </c>
      <c r="R48" s="10"/>
    </row>
    <row r="50" spans="1:18" x14ac:dyDescent="0.25">
      <c r="A50" s="81" t="s">
        <v>17</v>
      </c>
      <c r="B50" s="81"/>
      <c r="C50" s="81"/>
      <c r="D50" s="81"/>
      <c r="E50" s="81"/>
      <c r="F50" s="81"/>
      <c r="G50" s="81"/>
      <c r="H50" s="81"/>
      <c r="I50" s="81"/>
      <c r="J50" s="81"/>
      <c r="K50" s="81"/>
      <c r="L50" s="81"/>
      <c r="M50" s="81"/>
      <c r="N50" s="81"/>
      <c r="O50" s="81"/>
      <c r="P50" s="81"/>
      <c r="Q50" s="81"/>
      <c r="R50" s="82"/>
    </row>
    <row r="51" spans="1:18" x14ac:dyDescent="0.25">
      <c r="A51" s="79" t="s">
        <v>45</v>
      </c>
      <c r="B51" s="79"/>
      <c r="C51" s="79"/>
      <c r="D51" s="79"/>
      <c r="E51" s="79"/>
      <c r="F51" s="79"/>
      <c r="G51" s="80"/>
      <c r="H51" s="83" t="s">
        <v>5</v>
      </c>
      <c r="I51" s="83"/>
      <c r="J51" s="83"/>
      <c r="K51" s="83"/>
      <c r="L51" s="84" t="s">
        <v>9</v>
      </c>
      <c r="M51" s="84"/>
      <c r="N51" s="84"/>
      <c r="O51" s="84"/>
      <c r="P51" s="84"/>
      <c r="Q51" s="84"/>
      <c r="R51" s="84"/>
    </row>
    <row r="52" spans="1:18" ht="45" x14ac:dyDescent="0.25">
      <c r="A52" s="51" t="s">
        <v>53</v>
      </c>
      <c r="B52" s="51" t="s">
        <v>28</v>
      </c>
      <c r="C52" s="51" t="s">
        <v>29</v>
      </c>
      <c r="D52" s="51" t="s">
        <v>35</v>
      </c>
      <c r="E52" s="51" t="s">
        <v>27</v>
      </c>
      <c r="F52" s="51" t="s">
        <v>36</v>
      </c>
      <c r="G52" s="51" t="s">
        <v>37</v>
      </c>
      <c r="H52" s="52" t="s">
        <v>39</v>
      </c>
      <c r="I52" s="52" t="s">
        <v>38</v>
      </c>
      <c r="J52" s="52" t="s">
        <v>44</v>
      </c>
      <c r="K52" s="52"/>
      <c r="L52" s="53" t="s">
        <v>39</v>
      </c>
      <c r="M52" s="53"/>
      <c r="N52" s="54" t="s">
        <v>95</v>
      </c>
      <c r="O52" s="54" t="s">
        <v>44</v>
      </c>
      <c r="P52" s="54" t="s">
        <v>95</v>
      </c>
      <c r="Q52" s="54" t="s">
        <v>42</v>
      </c>
      <c r="R52" s="53" t="s">
        <v>43</v>
      </c>
    </row>
    <row r="53" spans="1:18" x14ac:dyDescent="0.25">
      <c r="A53" s="40" t="s">
        <v>58</v>
      </c>
      <c r="B53" s="40" t="s">
        <v>34</v>
      </c>
      <c r="C53" s="41" t="s">
        <v>24</v>
      </c>
      <c r="D53" s="19" t="s">
        <v>1</v>
      </c>
      <c r="E53" s="19" t="s">
        <v>1</v>
      </c>
      <c r="F53" s="19">
        <v>90</v>
      </c>
      <c r="G53" s="19">
        <v>0</v>
      </c>
      <c r="H53" s="20" t="s">
        <v>16</v>
      </c>
      <c r="I53" s="20" t="s">
        <v>0</v>
      </c>
      <c r="J53" s="20">
        <v>20</v>
      </c>
      <c r="K53" s="56"/>
      <c r="L53" s="21" t="s">
        <v>16</v>
      </c>
      <c r="M53" s="58"/>
      <c r="N53" s="57">
        <f t="shared" ref="N53:N60" si="6">M53-K53</f>
        <v>0</v>
      </c>
      <c r="O53" s="21"/>
      <c r="P53" s="57" t="b">
        <f t="shared" ref="P53:P60" si="7">IF(AND(I53="YES",N53&gt;0),TRUE,IF(AND(I53="NO",N53=0),TRUE,FALSE))</f>
        <v>0</v>
      </c>
      <c r="Q53" s="21" t="s">
        <v>67</v>
      </c>
      <c r="R53" s="10"/>
    </row>
    <row r="54" spans="1:18" x14ac:dyDescent="0.25">
      <c r="A54" s="40" t="s">
        <v>58</v>
      </c>
      <c r="B54" s="40" t="s">
        <v>34</v>
      </c>
      <c r="C54" s="41" t="s">
        <v>24</v>
      </c>
      <c r="D54" s="19" t="s">
        <v>1</v>
      </c>
      <c r="E54" s="19" t="s">
        <v>1</v>
      </c>
      <c r="F54" s="19">
        <v>90</v>
      </c>
      <c r="G54" s="19">
        <v>0</v>
      </c>
      <c r="H54" s="20" t="s">
        <v>16</v>
      </c>
      <c r="I54" s="20" t="s">
        <v>2</v>
      </c>
      <c r="J54" s="20">
        <v>20</v>
      </c>
      <c r="K54" s="56"/>
      <c r="L54" s="21" t="s">
        <v>16</v>
      </c>
      <c r="M54" s="58"/>
      <c r="N54" s="57">
        <f t="shared" si="6"/>
        <v>0</v>
      </c>
      <c r="O54" s="21"/>
      <c r="P54" s="57" t="b">
        <f t="shared" si="7"/>
        <v>1</v>
      </c>
      <c r="Q54" s="21" t="s">
        <v>67</v>
      </c>
      <c r="R54" s="10"/>
    </row>
    <row r="55" spans="1:18" x14ac:dyDescent="0.25">
      <c r="A55" s="40" t="s">
        <v>58</v>
      </c>
      <c r="B55" s="40" t="s">
        <v>34</v>
      </c>
      <c r="C55" s="41" t="s">
        <v>24</v>
      </c>
      <c r="D55" s="19" t="s">
        <v>1</v>
      </c>
      <c r="E55" s="19" t="s">
        <v>1</v>
      </c>
      <c r="F55" s="19">
        <v>90</v>
      </c>
      <c r="G55" s="19">
        <v>0</v>
      </c>
      <c r="H55" s="20" t="s">
        <v>21</v>
      </c>
      <c r="I55" s="20" t="s">
        <v>0</v>
      </c>
      <c r="J55" s="20">
        <v>20</v>
      </c>
      <c r="K55" s="56"/>
      <c r="L55" s="21" t="s">
        <v>21</v>
      </c>
      <c r="M55" s="58"/>
      <c r="N55" s="57">
        <f t="shared" si="6"/>
        <v>0</v>
      </c>
      <c r="O55" s="21"/>
      <c r="P55" s="57" t="b">
        <f t="shared" si="7"/>
        <v>0</v>
      </c>
      <c r="Q55" s="21" t="s">
        <v>67</v>
      </c>
      <c r="R55" s="10"/>
    </row>
    <row r="56" spans="1:18" x14ac:dyDescent="0.25">
      <c r="A56" s="40" t="s">
        <v>58</v>
      </c>
      <c r="B56" s="40" t="s">
        <v>34</v>
      </c>
      <c r="C56" s="41" t="s">
        <v>24</v>
      </c>
      <c r="D56" s="19" t="s">
        <v>1</v>
      </c>
      <c r="E56" s="19" t="s">
        <v>1</v>
      </c>
      <c r="F56" s="19">
        <v>90</v>
      </c>
      <c r="G56" s="19">
        <v>0</v>
      </c>
      <c r="H56" s="20" t="s">
        <v>21</v>
      </c>
      <c r="I56" s="20" t="s">
        <v>2</v>
      </c>
      <c r="J56" s="20">
        <v>20</v>
      </c>
      <c r="K56" s="56"/>
      <c r="L56" s="21" t="s">
        <v>21</v>
      </c>
      <c r="M56" s="58"/>
      <c r="N56" s="57">
        <f t="shared" si="6"/>
        <v>0</v>
      </c>
      <c r="O56" s="21"/>
      <c r="P56" s="57" t="b">
        <f t="shared" si="7"/>
        <v>1</v>
      </c>
      <c r="Q56" s="21" t="s">
        <v>67</v>
      </c>
      <c r="R56" s="10"/>
    </row>
    <row r="57" spans="1:18" x14ac:dyDescent="0.25">
      <c r="A57" s="42" t="s">
        <v>59</v>
      </c>
      <c r="B57" s="42" t="s">
        <v>34</v>
      </c>
      <c r="C57" s="43" t="s">
        <v>31</v>
      </c>
      <c r="D57" s="19" t="s">
        <v>1</v>
      </c>
      <c r="E57" s="19" t="s">
        <v>1</v>
      </c>
      <c r="F57" s="19">
        <v>90</v>
      </c>
      <c r="G57" s="19">
        <v>0</v>
      </c>
      <c r="H57" s="20" t="s">
        <v>16</v>
      </c>
      <c r="I57" s="20" t="s">
        <v>0</v>
      </c>
      <c r="J57" s="20">
        <v>20</v>
      </c>
      <c r="K57" s="56"/>
      <c r="L57" s="21" t="s">
        <v>16</v>
      </c>
      <c r="M57" s="58"/>
      <c r="N57" s="57">
        <f t="shared" si="6"/>
        <v>0</v>
      </c>
      <c r="O57" s="21"/>
      <c r="P57" s="57" t="b">
        <f t="shared" si="7"/>
        <v>0</v>
      </c>
      <c r="Q57" s="21" t="s">
        <v>67</v>
      </c>
      <c r="R57" s="10"/>
    </row>
    <row r="58" spans="1:18" x14ac:dyDescent="0.25">
      <c r="A58" s="42" t="s">
        <v>59</v>
      </c>
      <c r="B58" s="42" t="s">
        <v>34</v>
      </c>
      <c r="C58" s="43" t="s">
        <v>31</v>
      </c>
      <c r="D58" s="19" t="s">
        <v>1</v>
      </c>
      <c r="E58" s="19" t="s">
        <v>1</v>
      </c>
      <c r="F58" s="19">
        <v>90</v>
      </c>
      <c r="G58" s="19">
        <v>0</v>
      </c>
      <c r="H58" s="20" t="s">
        <v>16</v>
      </c>
      <c r="I58" s="20" t="s">
        <v>2</v>
      </c>
      <c r="J58" s="20">
        <v>20</v>
      </c>
      <c r="K58" s="56"/>
      <c r="L58" s="21" t="s">
        <v>16</v>
      </c>
      <c r="M58" s="58"/>
      <c r="N58" s="57">
        <f t="shared" si="6"/>
        <v>0</v>
      </c>
      <c r="O58" s="21"/>
      <c r="P58" s="57" t="b">
        <f t="shared" si="7"/>
        <v>1</v>
      </c>
      <c r="Q58" s="21" t="s">
        <v>67</v>
      </c>
      <c r="R58" s="10"/>
    </row>
    <row r="59" spans="1:18" x14ac:dyDescent="0.25">
      <c r="A59" s="42" t="s">
        <v>59</v>
      </c>
      <c r="B59" s="42" t="s">
        <v>34</v>
      </c>
      <c r="C59" s="43" t="s">
        <v>31</v>
      </c>
      <c r="D59" s="19" t="s">
        <v>1</v>
      </c>
      <c r="E59" s="19" t="s">
        <v>1</v>
      </c>
      <c r="F59" s="19">
        <v>90</v>
      </c>
      <c r="G59" s="19">
        <v>0</v>
      </c>
      <c r="H59" s="20" t="s">
        <v>21</v>
      </c>
      <c r="I59" s="20" t="s">
        <v>0</v>
      </c>
      <c r="J59" s="20">
        <v>20</v>
      </c>
      <c r="K59" s="56"/>
      <c r="L59" s="21" t="s">
        <v>21</v>
      </c>
      <c r="M59" s="58"/>
      <c r="N59" s="57">
        <f t="shared" si="6"/>
        <v>0</v>
      </c>
      <c r="O59" s="21"/>
      <c r="P59" s="57" t="b">
        <f t="shared" si="7"/>
        <v>0</v>
      </c>
      <c r="Q59" s="21" t="s">
        <v>67</v>
      </c>
      <c r="R59" s="10"/>
    </row>
    <row r="60" spans="1:18" x14ac:dyDescent="0.25">
      <c r="A60" s="42" t="s">
        <v>59</v>
      </c>
      <c r="B60" s="42" t="s">
        <v>34</v>
      </c>
      <c r="C60" s="43" t="s">
        <v>31</v>
      </c>
      <c r="D60" s="19" t="s">
        <v>1</v>
      </c>
      <c r="E60" s="19" t="s">
        <v>1</v>
      </c>
      <c r="F60" s="19">
        <v>90</v>
      </c>
      <c r="G60" s="19">
        <v>0</v>
      </c>
      <c r="H60" s="20" t="s">
        <v>21</v>
      </c>
      <c r="I60" s="20" t="s">
        <v>2</v>
      </c>
      <c r="J60" s="20">
        <v>20</v>
      </c>
      <c r="K60" s="56"/>
      <c r="L60" s="21" t="s">
        <v>21</v>
      </c>
      <c r="M60" s="58"/>
      <c r="N60" s="57">
        <f t="shared" si="6"/>
        <v>0</v>
      </c>
      <c r="O60" s="21"/>
      <c r="P60" s="57" t="b">
        <f t="shared" si="7"/>
        <v>1</v>
      </c>
      <c r="Q60" s="21" t="s">
        <v>67</v>
      </c>
      <c r="R60" s="10"/>
    </row>
  </sheetData>
  <mergeCells count="16">
    <mergeCell ref="A51:G51"/>
    <mergeCell ref="H51:K51"/>
    <mergeCell ref="L51:R51"/>
    <mergeCell ref="A1:R1"/>
    <mergeCell ref="A2:G2"/>
    <mergeCell ref="H2:K2"/>
    <mergeCell ref="L2:R2"/>
    <mergeCell ref="A17:R17"/>
    <mergeCell ref="A18:G18"/>
    <mergeCell ref="H18:K18"/>
    <mergeCell ref="L18:R18"/>
    <mergeCell ref="A30:R30"/>
    <mergeCell ref="A31:G31"/>
    <mergeCell ref="H31:K31"/>
    <mergeCell ref="L31:R31"/>
    <mergeCell ref="A50:R50"/>
  </mergeCells>
  <conditionalFormatting sqref="O4:O15">
    <cfRule type="cellIs" dxfId="41" priority="23" operator="notEqual">
      <formula>J4</formula>
    </cfRule>
    <cfRule type="cellIs" dxfId="40" priority="24" operator="equal">
      <formula>J4</formula>
    </cfRule>
  </conditionalFormatting>
  <conditionalFormatting sqref="Q4:Q15">
    <cfRule type="cellIs" dxfId="39" priority="21" operator="notEqual">
      <formula>"PASS"</formula>
    </cfRule>
    <cfRule type="cellIs" dxfId="38" priority="22" operator="equal">
      <formula>"PASS"</formula>
    </cfRule>
  </conditionalFormatting>
  <conditionalFormatting sqref="O20:O27">
    <cfRule type="cellIs" dxfId="37" priority="19" operator="notEqual">
      <formula>J20</formula>
    </cfRule>
    <cfRule type="cellIs" dxfId="36" priority="20" operator="equal">
      <formula>J20</formula>
    </cfRule>
  </conditionalFormatting>
  <conditionalFormatting sqref="Q20:Q27">
    <cfRule type="cellIs" dxfId="35" priority="17" operator="notEqual">
      <formula>"PASS"</formula>
    </cfRule>
    <cfRule type="cellIs" dxfId="34" priority="18" operator="equal">
      <formula>"PASS"</formula>
    </cfRule>
  </conditionalFormatting>
  <conditionalFormatting sqref="O33:O48">
    <cfRule type="cellIs" dxfId="33" priority="15" operator="notEqual">
      <formula>J33</formula>
    </cfRule>
    <cfRule type="cellIs" dxfId="32" priority="16" operator="equal">
      <formula>J33</formula>
    </cfRule>
  </conditionalFormatting>
  <conditionalFormatting sqref="Q33:Q48">
    <cfRule type="cellIs" dxfId="31" priority="13" operator="notEqual">
      <formula>"PASS"</formula>
    </cfRule>
    <cfRule type="cellIs" dxfId="30" priority="14" operator="equal">
      <formula>"PASS"</formula>
    </cfRule>
  </conditionalFormatting>
  <conditionalFormatting sqref="O53:O60">
    <cfRule type="cellIs" dxfId="29" priority="11" operator="notEqual">
      <formula>J53</formula>
    </cfRule>
    <cfRule type="cellIs" dxfId="28" priority="12" operator="equal">
      <formula>J53</formula>
    </cfRule>
  </conditionalFormatting>
  <conditionalFormatting sqref="Q53:Q60">
    <cfRule type="cellIs" dxfId="27" priority="9" operator="notEqual">
      <formula>"PASS"</formula>
    </cfRule>
    <cfRule type="cellIs" dxfId="26" priority="10" operator="equal">
      <formula>"PASS"</formula>
    </cfRule>
  </conditionalFormatting>
  <conditionalFormatting sqref="P4:P15">
    <cfRule type="cellIs" dxfId="25" priority="7" operator="notEqual">
      <formula>TRUE</formula>
    </cfRule>
    <cfRule type="cellIs" dxfId="24" priority="8" operator="equal">
      <formula>TRUE</formula>
    </cfRule>
  </conditionalFormatting>
  <conditionalFormatting sqref="P20:P27">
    <cfRule type="cellIs" dxfId="23" priority="5" operator="notEqual">
      <formula>TRUE</formula>
    </cfRule>
    <cfRule type="cellIs" dxfId="22" priority="6" operator="equal">
      <formula>TRUE</formula>
    </cfRule>
  </conditionalFormatting>
  <conditionalFormatting sqref="P33:P48">
    <cfRule type="cellIs" dxfId="21" priority="3" operator="notEqual">
      <formula>TRUE</formula>
    </cfRule>
    <cfRule type="cellIs" dxfId="20" priority="4" operator="equal">
      <formula>TRUE</formula>
    </cfRule>
  </conditionalFormatting>
  <conditionalFormatting sqref="P53:P60">
    <cfRule type="cellIs" dxfId="19" priority="1" operator="notEqual">
      <formula>TRUE</formula>
    </cfRule>
    <cfRule type="cellIs" dxfId="18" priority="2" operator="equal">
      <formula>TRUE</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00C63-28F3-411E-9840-C8E2D84B491B}">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FD06F-E76B-4E44-AE08-356943239667}">
  <dimension ref="A1:Y39"/>
  <sheetViews>
    <sheetView topLeftCell="A3" zoomScale="160" zoomScaleNormal="160" workbookViewId="0">
      <selection activeCell="B4" sqref="B4"/>
    </sheetView>
  </sheetViews>
  <sheetFormatPr defaultRowHeight="15" x14ac:dyDescent="0.25"/>
  <cols>
    <col min="1" max="1" width="17" customWidth="1"/>
    <col min="2" max="3" width="15.85546875" style="1" customWidth="1"/>
    <col min="4" max="4" width="16.85546875" style="1" bestFit="1" customWidth="1"/>
    <col min="5" max="5" width="17.5703125" style="1" bestFit="1" customWidth="1"/>
    <col min="6" max="6" width="15.85546875" style="1" customWidth="1"/>
    <col min="7" max="7" width="15.42578125" style="1" customWidth="1"/>
    <col min="8" max="8" width="11.28515625" style="1" bestFit="1" customWidth="1"/>
    <col min="9" max="9" width="23" style="1" customWidth="1"/>
    <col min="10" max="10" width="13.140625" style="1" bestFit="1" customWidth="1"/>
    <col min="11" max="11" width="11.28515625" style="1" bestFit="1" customWidth="1"/>
    <col min="12" max="12" width="22" style="1" bestFit="1" customWidth="1"/>
    <col min="13" max="18" width="18.28515625" style="1" customWidth="1"/>
    <col min="19" max="25" width="9.140625" style="1"/>
  </cols>
  <sheetData>
    <row r="1" spans="1:13" x14ac:dyDescent="0.25">
      <c r="A1" s="86" t="s">
        <v>12</v>
      </c>
      <c r="B1" s="86"/>
      <c r="C1" s="86"/>
      <c r="D1" s="86"/>
      <c r="E1" s="86"/>
      <c r="F1" s="86"/>
      <c r="G1" s="86"/>
      <c r="H1" s="86"/>
      <c r="I1" s="86"/>
      <c r="J1" s="86"/>
      <c r="K1" s="86"/>
      <c r="L1" s="86"/>
      <c r="M1" s="2"/>
    </row>
    <row r="2" spans="1:13" ht="19.5" customHeight="1" x14ac:dyDescent="0.25">
      <c r="A2" s="85" t="s">
        <v>3</v>
      </c>
      <c r="B2" s="85"/>
      <c r="C2" s="85"/>
      <c r="D2" s="85"/>
      <c r="E2" s="85"/>
      <c r="F2" s="87" t="s">
        <v>5</v>
      </c>
      <c r="G2" s="87"/>
      <c r="H2" s="87"/>
      <c r="I2" s="87"/>
      <c r="J2" s="88" t="s">
        <v>9</v>
      </c>
      <c r="K2" s="88"/>
      <c r="L2" s="88"/>
      <c r="M2" s="2"/>
    </row>
    <row r="3" spans="1:13" s="1" customFormat="1" ht="50.25" customHeight="1" x14ac:dyDescent="0.25">
      <c r="A3" s="5" t="s">
        <v>23</v>
      </c>
      <c r="B3" s="5" t="s">
        <v>4</v>
      </c>
      <c r="C3" s="5" t="s">
        <v>27</v>
      </c>
      <c r="D3" s="5" t="s">
        <v>18</v>
      </c>
      <c r="E3" s="5" t="s">
        <v>19</v>
      </c>
      <c r="F3" s="7" t="s">
        <v>15</v>
      </c>
      <c r="G3" s="7" t="s">
        <v>14</v>
      </c>
      <c r="H3" s="7" t="s">
        <v>20</v>
      </c>
      <c r="I3" s="7" t="s">
        <v>7</v>
      </c>
      <c r="J3" s="9" t="s">
        <v>10</v>
      </c>
      <c r="K3" s="9" t="s">
        <v>20</v>
      </c>
      <c r="L3" s="9" t="s">
        <v>7</v>
      </c>
      <c r="M3" s="3"/>
    </row>
    <row r="4" spans="1:13" x14ac:dyDescent="0.25">
      <c r="A4" s="5" t="s">
        <v>24</v>
      </c>
      <c r="B4" s="6" t="s">
        <v>1</v>
      </c>
      <c r="C4" s="6">
        <v>480</v>
      </c>
      <c r="D4" s="6">
        <v>90</v>
      </c>
      <c r="E4" s="6">
        <v>0</v>
      </c>
      <c r="F4" s="8" t="s">
        <v>16</v>
      </c>
      <c r="G4" s="8" t="s">
        <v>2</v>
      </c>
      <c r="H4" s="8">
        <v>20</v>
      </c>
      <c r="I4" s="8" t="s">
        <v>8</v>
      </c>
      <c r="J4" s="11" t="s">
        <v>0</v>
      </c>
      <c r="K4" s="10">
        <v>20</v>
      </c>
      <c r="L4" s="10" t="s">
        <v>8</v>
      </c>
      <c r="M4" s="4"/>
    </row>
    <row r="5" spans="1:13" x14ac:dyDescent="0.25">
      <c r="A5" s="5" t="s">
        <v>24</v>
      </c>
      <c r="B5" s="6" t="s">
        <v>1</v>
      </c>
      <c r="C5" s="6">
        <v>480</v>
      </c>
      <c r="D5" s="6">
        <v>90</v>
      </c>
      <c r="E5" s="6">
        <v>0</v>
      </c>
      <c r="F5" s="8" t="s">
        <v>16</v>
      </c>
      <c r="G5" s="8" t="s">
        <v>0</v>
      </c>
      <c r="H5" s="8">
        <v>20</v>
      </c>
      <c r="I5" s="8" t="s">
        <v>8</v>
      </c>
      <c r="J5" s="10" t="s">
        <v>0</v>
      </c>
      <c r="K5" s="10">
        <v>20</v>
      </c>
      <c r="L5" s="10" t="s">
        <v>8</v>
      </c>
      <c r="M5" s="4"/>
    </row>
    <row r="6" spans="1:13" x14ac:dyDescent="0.25">
      <c r="A6" s="5" t="s">
        <v>24</v>
      </c>
      <c r="B6" s="6" t="s">
        <v>1</v>
      </c>
      <c r="C6" s="6">
        <v>480</v>
      </c>
      <c r="D6" s="6">
        <v>90</v>
      </c>
      <c r="E6" s="6">
        <v>0</v>
      </c>
      <c r="F6" s="8" t="s">
        <v>16</v>
      </c>
      <c r="G6" s="8" t="s">
        <v>0</v>
      </c>
      <c r="H6" s="8">
        <v>20</v>
      </c>
      <c r="I6" s="8" t="s">
        <v>11</v>
      </c>
      <c r="J6" s="10" t="s">
        <v>0</v>
      </c>
      <c r="K6" s="10">
        <v>20</v>
      </c>
      <c r="L6" s="10" t="s">
        <v>11</v>
      </c>
      <c r="M6" s="4"/>
    </row>
    <row r="7" spans="1:13" x14ac:dyDescent="0.25">
      <c r="A7" s="5" t="s">
        <v>24</v>
      </c>
      <c r="B7" s="6" t="s">
        <v>1</v>
      </c>
      <c r="C7" s="6">
        <v>480</v>
      </c>
      <c r="D7" s="6">
        <v>90</v>
      </c>
      <c r="E7" s="6">
        <v>0</v>
      </c>
      <c r="F7" s="8" t="s">
        <v>21</v>
      </c>
      <c r="G7" s="8" t="s">
        <v>2</v>
      </c>
      <c r="H7" s="8">
        <v>20</v>
      </c>
      <c r="I7" s="8" t="s">
        <v>11</v>
      </c>
      <c r="J7" s="10" t="s">
        <v>2</v>
      </c>
      <c r="K7" s="10">
        <v>20</v>
      </c>
      <c r="L7" s="10" t="s">
        <v>11</v>
      </c>
      <c r="M7" s="4"/>
    </row>
    <row r="8" spans="1:13" x14ac:dyDescent="0.25">
      <c r="A8" s="5" t="s">
        <v>24</v>
      </c>
      <c r="B8" s="6" t="s">
        <v>1</v>
      </c>
      <c r="C8" s="6">
        <v>480</v>
      </c>
      <c r="D8" s="6">
        <v>0</v>
      </c>
      <c r="E8" s="6">
        <v>0</v>
      </c>
      <c r="F8" s="8" t="s">
        <v>16</v>
      </c>
      <c r="G8" s="8" t="s">
        <v>2</v>
      </c>
      <c r="H8" s="8">
        <v>20</v>
      </c>
      <c r="I8" s="8" t="s">
        <v>8</v>
      </c>
      <c r="J8" s="10" t="s">
        <v>2</v>
      </c>
      <c r="K8" s="10">
        <v>20</v>
      </c>
      <c r="L8" s="10" t="s">
        <v>8</v>
      </c>
      <c r="M8" s="4"/>
    </row>
    <row r="11" spans="1:13" ht="15" customHeight="1" x14ac:dyDescent="0.25">
      <c r="A11" s="86" t="s">
        <v>13</v>
      </c>
      <c r="B11" s="86"/>
      <c r="C11" s="86"/>
      <c r="D11" s="86"/>
      <c r="E11" s="86"/>
      <c r="F11" s="86"/>
      <c r="G11" s="86"/>
      <c r="H11" s="86"/>
      <c r="I11" s="86"/>
      <c r="J11" s="86"/>
      <c r="K11" s="86"/>
      <c r="L11" s="86"/>
      <c r="M11" s="2"/>
    </row>
    <row r="12" spans="1:13" ht="28.5" customHeight="1" x14ac:dyDescent="0.25">
      <c r="A12" s="85" t="s">
        <v>3</v>
      </c>
      <c r="B12" s="85"/>
      <c r="C12" s="85"/>
      <c r="D12" s="85"/>
      <c r="E12" s="85"/>
      <c r="F12" s="87" t="s">
        <v>5</v>
      </c>
      <c r="G12" s="87"/>
      <c r="H12" s="87"/>
      <c r="I12" s="87"/>
      <c r="J12" s="88" t="s">
        <v>9</v>
      </c>
      <c r="K12" s="88"/>
      <c r="L12" s="88"/>
      <c r="M12" s="2"/>
    </row>
    <row r="13" spans="1:13" s="1" customFormat="1" ht="50.25" customHeight="1" x14ac:dyDescent="0.25">
      <c r="A13" s="5" t="s">
        <v>23</v>
      </c>
      <c r="B13" s="5" t="s">
        <v>4</v>
      </c>
      <c r="C13" s="5" t="s">
        <v>27</v>
      </c>
      <c r="D13" s="5" t="s">
        <v>18</v>
      </c>
      <c r="E13" s="5" t="s">
        <v>19</v>
      </c>
      <c r="F13" s="7" t="s">
        <v>6</v>
      </c>
      <c r="G13" s="7" t="s">
        <v>14</v>
      </c>
      <c r="H13" s="7" t="s">
        <v>20</v>
      </c>
      <c r="I13" s="7" t="s">
        <v>7</v>
      </c>
      <c r="J13" s="9" t="s">
        <v>10</v>
      </c>
      <c r="K13" s="9" t="s">
        <v>20</v>
      </c>
      <c r="L13" s="9" t="s">
        <v>7</v>
      </c>
      <c r="M13" s="3"/>
    </row>
    <row r="14" spans="1:13" x14ac:dyDescent="0.25">
      <c r="A14" s="5" t="s">
        <v>24</v>
      </c>
      <c r="B14" s="6">
        <v>0</v>
      </c>
      <c r="C14" s="6">
        <v>480</v>
      </c>
      <c r="D14" s="6">
        <v>90</v>
      </c>
      <c r="E14" s="6">
        <v>0</v>
      </c>
      <c r="F14" s="8" t="s">
        <v>16</v>
      </c>
      <c r="G14" s="8" t="s">
        <v>2</v>
      </c>
      <c r="H14" s="8">
        <v>20</v>
      </c>
      <c r="I14" s="8" t="s">
        <v>8</v>
      </c>
      <c r="J14" s="10" t="s">
        <v>2</v>
      </c>
      <c r="K14" s="10">
        <v>20</v>
      </c>
      <c r="L14" s="10" t="s">
        <v>8</v>
      </c>
      <c r="M14" s="4"/>
    </row>
    <row r="15" spans="1:13" x14ac:dyDescent="0.25">
      <c r="A15" s="5" t="s">
        <v>24</v>
      </c>
      <c r="B15" s="6">
        <v>0</v>
      </c>
      <c r="C15" s="6">
        <v>480</v>
      </c>
      <c r="D15" s="6">
        <v>90</v>
      </c>
      <c r="E15" s="6">
        <v>0</v>
      </c>
      <c r="F15" s="8" t="s">
        <v>16</v>
      </c>
      <c r="G15" s="8" t="s">
        <v>0</v>
      </c>
      <c r="H15" s="8">
        <v>20</v>
      </c>
      <c r="I15" s="8" t="s">
        <v>8</v>
      </c>
      <c r="J15" s="11" t="s">
        <v>2</v>
      </c>
      <c r="K15" s="10">
        <v>20</v>
      </c>
      <c r="L15" s="10" t="s">
        <v>8</v>
      </c>
      <c r="M15" s="4"/>
    </row>
    <row r="16" spans="1:13" x14ac:dyDescent="0.25">
      <c r="A16" s="5" t="s">
        <v>24</v>
      </c>
      <c r="B16" s="6">
        <v>0</v>
      </c>
      <c r="C16" s="6">
        <v>480</v>
      </c>
      <c r="D16" s="6">
        <v>90</v>
      </c>
      <c r="E16" s="6">
        <v>0</v>
      </c>
      <c r="F16" s="8" t="s">
        <v>16</v>
      </c>
      <c r="G16" s="8" t="s">
        <v>0</v>
      </c>
      <c r="H16" s="8">
        <v>20</v>
      </c>
      <c r="I16" s="8" t="s">
        <v>11</v>
      </c>
      <c r="J16" s="11" t="s">
        <v>2</v>
      </c>
      <c r="K16" s="10">
        <v>20</v>
      </c>
      <c r="L16" s="10" t="s">
        <v>11</v>
      </c>
    </row>
    <row r="17" spans="1:13" x14ac:dyDescent="0.25">
      <c r="A17" s="5" t="s">
        <v>24</v>
      </c>
      <c r="B17" s="6">
        <v>0</v>
      </c>
      <c r="C17" s="6">
        <v>480</v>
      </c>
      <c r="D17" s="6">
        <v>90</v>
      </c>
      <c r="E17" s="6">
        <v>0</v>
      </c>
      <c r="F17" s="8" t="s">
        <v>21</v>
      </c>
      <c r="G17" s="8" t="s">
        <v>2</v>
      </c>
      <c r="H17" s="8">
        <v>20</v>
      </c>
      <c r="I17" s="8" t="s">
        <v>11</v>
      </c>
      <c r="J17" s="10" t="s">
        <v>2</v>
      </c>
      <c r="K17" s="10">
        <v>20</v>
      </c>
      <c r="L17" s="10" t="s">
        <v>11</v>
      </c>
    </row>
    <row r="18" spans="1:13" x14ac:dyDescent="0.25">
      <c r="A18" s="5" t="s">
        <v>25</v>
      </c>
      <c r="B18" s="6">
        <v>0</v>
      </c>
      <c r="C18" s="6">
        <v>480</v>
      </c>
      <c r="D18" s="6">
        <v>90</v>
      </c>
      <c r="E18" s="6">
        <v>0</v>
      </c>
      <c r="F18" s="8" t="s">
        <v>16</v>
      </c>
      <c r="G18" s="8" t="s">
        <v>2</v>
      </c>
      <c r="H18" s="8">
        <v>20</v>
      </c>
      <c r="I18" s="8" t="s">
        <v>8</v>
      </c>
      <c r="J18" s="10" t="s">
        <v>2</v>
      </c>
      <c r="K18" s="11">
        <v>0</v>
      </c>
      <c r="L18" s="10"/>
    </row>
    <row r="19" spans="1:13" x14ac:dyDescent="0.25">
      <c r="A19" s="5" t="s">
        <v>26</v>
      </c>
      <c r="B19" s="6">
        <v>0</v>
      </c>
      <c r="C19" s="6">
        <v>480</v>
      </c>
      <c r="D19" s="6">
        <v>90</v>
      </c>
      <c r="E19" s="6">
        <v>0</v>
      </c>
      <c r="F19" s="8" t="s">
        <v>16</v>
      </c>
      <c r="G19" s="8" t="s">
        <v>2</v>
      </c>
      <c r="H19" s="8">
        <v>20</v>
      </c>
      <c r="I19" s="8" t="s">
        <v>8</v>
      </c>
      <c r="J19" s="10" t="s">
        <v>2</v>
      </c>
      <c r="K19" s="10">
        <v>20</v>
      </c>
      <c r="L19" s="10" t="s">
        <v>8</v>
      </c>
    </row>
    <row r="22" spans="1:13" ht="15" customHeight="1" x14ac:dyDescent="0.25">
      <c r="A22" s="86" t="s">
        <v>22</v>
      </c>
      <c r="B22" s="86"/>
      <c r="C22" s="86"/>
      <c r="D22" s="86"/>
      <c r="E22" s="86"/>
      <c r="F22" s="86"/>
      <c r="G22" s="86"/>
      <c r="H22" s="86"/>
      <c r="I22" s="86"/>
      <c r="J22" s="86"/>
      <c r="K22" s="86"/>
      <c r="L22" s="86"/>
      <c r="M22" s="2"/>
    </row>
    <row r="23" spans="1:13" ht="28.5" customHeight="1" x14ac:dyDescent="0.25">
      <c r="A23" s="85" t="s">
        <v>3</v>
      </c>
      <c r="B23" s="85"/>
      <c r="C23" s="85"/>
      <c r="D23" s="85"/>
      <c r="E23" s="85"/>
      <c r="F23" s="87" t="s">
        <v>5</v>
      </c>
      <c r="G23" s="87"/>
      <c r="H23" s="87"/>
      <c r="I23" s="87"/>
      <c r="J23" s="88" t="s">
        <v>9</v>
      </c>
      <c r="K23" s="88"/>
      <c r="L23" s="88"/>
      <c r="M23" s="2"/>
    </row>
    <row r="24" spans="1:13" s="1" customFormat="1" ht="50.25" customHeight="1" x14ac:dyDescent="0.25">
      <c r="A24" s="5" t="s">
        <v>23</v>
      </c>
      <c r="B24" s="5" t="s">
        <v>4</v>
      </c>
      <c r="C24" s="5" t="s">
        <v>27</v>
      </c>
      <c r="D24" s="5" t="s">
        <v>18</v>
      </c>
      <c r="E24" s="5" t="s">
        <v>19</v>
      </c>
      <c r="F24" s="7" t="s">
        <v>6</v>
      </c>
      <c r="G24" s="7" t="s">
        <v>14</v>
      </c>
      <c r="H24" s="7" t="s">
        <v>20</v>
      </c>
      <c r="I24" s="7" t="s">
        <v>7</v>
      </c>
      <c r="J24" s="9" t="s">
        <v>10</v>
      </c>
      <c r="K24" s="9" t="s">
        <v>20</v>
      </c>
      <c r="L24" s="9" t="s">
        <v>7</v>
      </c>
      <c r="M24" s="3"/>
    </row>
    <row r="25" spans="1:13" x14ac:dyDescent="0.25">
      <c r="A25" s="5" t="s">
        <v>24</v>
      </c>
      <c r="B25" s="6">
        <v>0</v>
      </c>
      <c r="C25" s="6">
        <v>480</v>
      </c>
      <c r="D25" s="6">
        <v>90</v>
      </c>
      <c r="E25" s="6">
        <v>0</v>
      </c>
      <c r="F25" s="8" t="s">
        <v>16</v>
      </c>
      <c r="G25" s="8" t="s">
        <v>2</v>
      </c>
      <c r="H25" s="8">
        <v>20</v>
      </c>
      <c r="I25" s="8" t="s">
        <v>8</v>
      </c>
      <c r="J25" s="10" t="s">
        <v>2</v>
      </c>
      <c r="K25" s="10">
        <v>20</v>
      </c>
      <c r="L25" s="10" t="s">
        <v>8</v>
      </c>
      <c r="M25" s="4"/>
    </row>
    <row r="26" spans="1:13" x14ac:dyDescent="0.25">
      <c r="A26" s="5" t="s">
        <v>24</v>
      </c>
      <c r="B26" s="6">
        <v>0</v>
      </c>
      <c r="C26" s="6">
        <v>480</v>
      </c>
      <c r="D26" s="6">
        <v>90</v>
      </c>
      <c r="E26" s="6">
        <v>0</v>
      </c>
      <c r="F26" s="8" t="s">
        <v>16</v>
      </c>
      <c r="G26" s="8" t="s">
        <v>0</v>
      </c>
      <c r="H26" s="8">
        <v>20</v>
      </c>
      <c r="I26" s="8" t="s">
        <v>8</v>
      </c>
      <c r="J26" s="11" t="s">
        <v>2</v>
      </c>
      <c r="K26" s="10">
        <v>20</v>
      </c>
      <c r="L26" s="10" t="s">
        <v>8</v>
      </c>
      <c r="M26" s="4"/>
    </row>
    <row r="27" spans="1:13" x14ac:dyDescent="0.25">
      <c r="A27" s="5" t="s">
        <v>24</v>
      </c>
      <c r="B27" s="6">
        <v>0</v>
      </c>
      <c r="C27" s="6">
        <v>480</v>
      </c>
      <c r="D27" s="6">
        <v>90</v>
      </c>
      <c r="E27" s="6">
        <v>0</v>
      </c>
      <c r="F27" s="8" t="s">
        <v>16</v>
      </c>
      <c r="G27" s="8" t="s">
        <v>0</v>
      </c>
      <c r="H27" s="8">
        <v>20</v>
      </c>
      <c r="I27" s="8" t="s">
        <v>11</v>
      </c>
      <c r="J27" s="11" t="s">
        <v>2</v>
      </c>
      <c r="K27" s="10">
        <v>20</v>
      </c>
      <c r="L27" s="10" t="s">
        <v>11</v>
      </c>
    </row>
    <row r="28" spans="1:13" x14ac:dyDescent="0.25">
      <c r="A28" s="5" t="s">
        <v>24</v>
      </c>
      <c r="B28" s="6">
        <v>0</v>
      </c>
      <c r="C28" s="6">
        <v>480</v>
      </c>
      <c r="D28" s="6">
        <v>90</v>
      </c>
      <c r="E28" s="6">
        <v>0</v>
      </c>
      <c r="F28" s="8" t="s">
        <v>21</v>
      </c>
      <c r="G28" s="8" t="s">
        <v>2</v>
      </c>
      <c r="H28" s="8">
        <v>20</v>
      </c>
      <c r="I28" s="8" t="s">
        <v>11</v>
      </c>
      <c r="J28" s="10" t="s">
        <v>2</v>
      </c>
      <c r="K28" s="10">
        <v>20</v>
      </c>
      <c r="L28" s="10" t="s">
        <v>11</v>
      </c>
    </row>
    <row r="29" spans="1:13" x14ac:dyDescent="0.25">
      <c r="A29" s="5" t="s">
        <v>25</v>
      </c>
      <c r="B29" s="6">
        <v>0</v>
      </c>
      <c r="C29" s="6">
        <v>480</v>
      </c>
      <c r="D29" s="6">
        <v>90</v>
      </c>
      <c r="E29" s="6">
        <v>0</v>
      </c>
      <c r="F29" s="8" t="s">
        <v>16</v>
      </c>
      <c r="G29" s="8" t="s">
        <v>2</v>
      </c>
      <c r="H29" s="8">
        <v>20</v>
      </c>
      <c r="I29" s="8" t="s">
        <v>8</v>
      </c>
      <c r="J29" s="10" t="s">
        <v>2</v>
      </c>
      <c r="K29" s="11">
        <v>480</v>
      </c>
      <c r="L29" s="10" t="s">
        <v>8</v>
      </c>
    </row>
    <row r="30" spans="1:13" x14ac:dyDescent="0.25">
      <c r="A30" s="5" t="s">
        <v>26</v>
      </c>
      <c r="B30" s="6">
        <v>0</v>
      </c>
      <c r="C30" s="6">
        <v>480</v>
      </c>
      <c r="D30" s="6">
        <v>90</v>
      </c>
      <c r="E30" s="6">
        <v>0</v>
      </c>
      <c r="F30" s="8" t="s">
        <v>16</v>
      </c>
      <c r="G30" s="8" t="s">
        <v>2</v>
      </c>
      <c r="H30" s="8">
        <v>20</v>
      </c>
      <c r="I30" s="8" t="s">
        <v>8</v>
      </c>
      <c r="J30" s="10" t="s">
        <v>2</v>
      </c>
      <c r="K30" s="10">
        <v>20</v>
      </c>
      <c r="L30" s="10" t="s">
        <v>8</v>
      </c>
    </row>
    <row r="33" spans="1:12" x14ac:dyDescent="0.25">
      <c r="A33" s="86" t="s">
        <v>17</v>
      </c>
      <c r="B33" s="86"/>
      <c r="C33" s="86"/>
      <c r="D33" s="86"/>
      <c r="E33" s="86"/>
      <c r="F33" s="86"/>
      <c r="G33" s="86"/>
      <c r="H33" s="86"/>
      <c r="I33" s="86"/>
      <c r="J33" s="86"/>
      <c r="K33" s="86"/>
      <c r="L33" s="86"/>
    </row>
    <row r="34" spans="1:12" ht="15" customHeight="1" x14ac:dyDescent="0.25">
      <c r="A34" s="85" t="s">
        <v>3</v>
      </c>
      <c r="B34" s="85"/>
      <c r="C34" s="85"/>
      <c r="D34" s="85"/>
      <c r="E34" s="85"/>
      <c r="F34" s="87" t="s">
        <v>5</v>
      </c>
      <c r="G34" s="87"/>
      <c r="H34" s="87"/>
      <c r="I34" s="87"/>
      <c r="J34" s="88" t="s">
        <v>9</v>
      </c>
      <c r="K34" s="88"/>
      <c r="L34" s="88"/>
    </row>
    <row r="35" spans="1:12" ht="45.75" customHeight="1" x14ac:dyDescent="0.25">
      <c r="A35" s="5" t="s">
        <v>23</v>
      </c>
      <c r="B35" s="5" t="s">
        <v>4</v>
      </c>
      <c r="C35" s="5" t="s">
        <v>27</v>
      </c>
      <c r="D35" s="5" t="s">
        <v>18</v>
      </c>
      <c r="E35" s="5" t="s">
        <v>19</v>
      </c>
      <c r="F35" s="7" t="s">
        <v>6</v>
      </c>
      <c r="G35" s="7" t="s">
        <v>14</v>
      </c>
      <c r="H35" s="7" t="s">
        <v>20</v>
      </c>
      <c r="I35" s="7" t="s">
        <v>7</v>
      </c>
      <c r="J35" s="9" t="s">
        <v>10</v>
      </c>
      <c r="K35" s="9" t="s">
        <v>20</v>
      </c>
      <c r="L35" s="9" t="s">
        <v>7</v>
      </c>
    </row>
    <row r="36" spans="1:12" x14ac:dyDescent="0.25">
      <c r="A36" s="5" t="s">
        <v>24</v>
      </c>
      <c r="B36" s="6" t="s">
        <v>1</v>
      </c>
      <c r="C36" s="6" t="s">
        <v>1</v>
      </c>
      <c r="D36" s="6">
        <v>90</v>
      </c>
      <c r="E36" s="6">
        <v>0</v>
      </c>
      <c r="F36" s="8" t="s">
        <v>16</v>
      </c>
      <c r="G36" s="8" t="s">
        <v>2</v>
      </c>
      <c r="H36" s="8">
        <v>20</v>
      </c>
      <c r="I36" s="8" t="s">
        <v>8</v>
      </c>
      <c r="J36" s="10" t="s">
        <v>2</v>
      </c>
      <c r="K36" s="10">
        <v>20</v>
      </c>
      <c r="L36" s="10" t="s">
        <v>8</v>
      </c>
    </row>
    <row r="37" spans="1:12" x14ac:dyDescent="0.25">
      <c r="A37" s="5" t="s">
        <v>24</v>
      </c>
      <c r="B37" s="6" t="s">
        <v>1</v>
      </c>
      <c r="C37" s="6" t="s">
        <v>1</v>
      </c>
      <c r="D37" s="6">
        <v>90</v>
      </c>
      <c r="E37" s="6">
        <v>0</v>
      </c>
      <c r="F37" s="8" t="s">
        <v>16</v>
      </c>
      <c r="G37" s="8" t="s">
        <v>0</v>
      </c>
      <c r="H37" s="8">
        <v>20</v>
      </c>
      <c r="I37" s="8" t="s">
        <v>8</v>
      </c>
      <c r="J37" s="10" t="s">
        <v>0</v>
      </c>
      <c r="K37" s="10">
        <v>20</v>
      </c>
      <c r="L37" s="10" t="s">
        <v>8</v>
      </c>
    </row>
    <row r="38" spans="1:12" x14ac:dyDescent="0.25">
      <c r="A38" s="5" t="s">
        <v>24</v>
      </c>
      <c r="B38" s="6" t="s">
        <v>1</v>
      </c>
      <c r="C38" s="6" t="s">
        <v>1</v>
      </c>
      <c r="D38" s="6">
        <v>90</v>
      </c>
      <c r="E38" s="6">
        <v>0</v>
      </c>
      <c r="F38" s="8" t="s">
        <v>16</v>
      </c>
      <c r="G38" s="8" t="s">
        <v>0</v>
      </c>
      <c r="H38" s="8">
        <v>20</v>
      </c>
      <c r="I38" s="8" t="s">
        <v>11</v>
      </c>
      <c r="J38" s="10" t="s">
        <v>0</v>
      </c>
      <c r="K38" s="10">
        <v>20</v>
      </c>
      <c r="L38" s="10" t="s">
        <v>11</v>
      </c>
    </row>
    <row r="39" spans="1:12" x14ac:dyDescent="0.25">
      <c r="A39" s="5" t="s">
        <v>24</v>
      </c>
      <c r="B39" s="6" t="s">
        <v>1</v>
      </c>
      <c r="C39" s="6" t="s">
        <v>1</v>
      </c>
      <c r="D39" s="6">
        <v>90</v>
      </c>
      <c r="E39" s="6">
        <v>0</v>
      </c>
      <c r="F39" s="8" t="s">
        <v>21</v>
      </c>
      <c r="G39" s="8" t="s">
        <v>2</v>
      </c>
      <c r="H39" s="8">
        <v>20</v>
      </c>
      <c r="I39" s="8" t="s">
        <v>11</v>
      </c>
      <c r="J39" s="10" t="s">
        <v>2</v>
      </c>
      <c r="K39" s="10">
        <v>20</v>
      </c>
      <c r="L39" s="10" t="s">
        <v>11</v>
      </c>
    </row>
  </sheetData>
  <mergeCells count="16">
    <mergeCell ref="A34:E34"/>
    <mergeCell ref="A1:L1"/>
    <mergeCell ref="A11:L11"/>
    <mergeCell ref="A22:L22"/>
    <mergeCell ref="A33:L33"/>
    <mergeCell ref="A2:E2"/>
    <mergeCell ref="A12:E12"/>
    <mergeCell ref="A23:E23"/>
    <mergeCell ref="F34:I34"/>
    <mergeCell ref="J34:L34"/>
    <mergeCell ref="F12:I12"/>
    <mergeCell ref="J12:L12"/>
    <mergeCell ref="F2:I2"/>
    <mergeCell ref="J2:L2"/>
    <mergeCell ref="F23:I23"/>
    <mergeCell ref="J23:L2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F47A6-1D4E-4CFC-B9EE-87A9076A792F}">
  <dimension ref="A1:D51"/>
  <sheetViews>
    <sheetView zoomScale="145" zoomScaleNormal="145" workbookViewId="0">
      <selection activeCell="C44" sqref="C44:D51"/>
    </sheetView>
  </sheetViews>
  <sheetFormatPr defaultRowHeight="15" x14ac:dyDescent="0.25"/>
  <cols>
    <col min="1" max="2" width="9.140625" bestFit="1" customWidth="1"/>
    <col min="3" max="3" width="9.28515625" bestFit="1" customWidth="1"/>
    <col min="4" max="4" width="13.42578125" bestFit="1" customWidth="1"/>
  </cols>
  <sheetData>
    <row r="1" spans="1:4" x14ac:dyDescent="0.25">
      <c r="A1" t="s">
        <v>46</v>
      </c>
    </row>
    <row r="2" spans="1:4" x14ac:dyDescent="0.25">
      <c r="A2" t="s">
        <v>29</v>
      </c>
      <c r="B2" t="s">
        <v>28</v>
      </c>
      <c r="C2" t="s">
        <v>39</v>
      </c>
      <c r="D2" t="s">
        <v>38</v>
      </c>
    </row>
    <row r="3" spans="1:4" x14ac:dyDescent="0.25">
      <c r="A3" s="24" t="s">
        <v>30</v>
      </c>
      <c r="B3" s="25" t="s">
        <v>24</v>
      </c>
      <c r="C3" s="20" t="s">
        <v>16</v>
      </c>
      <c r="D3" s="20" t="s">
        <v>0</v>
      </c>
    </row>
    <row r="4" spans="1:4" x14ac:dyDescent="0.25">
      <c r="A4" s="24" t="s">
        <v>30</v>
      </c>
      <c r="B4" s="25" t="s">
        <v>24</v>
      </c>
      <c r="C4" s="20" t="s">
        <v>16</v>
      </c>
      <c r="D4" s="20" t="s">
        <v>2</v>
      </c>
    </row>
    <row r="5" spans="1:4" x14ac:dyDescent="0.25">
      <c r="A5" s="24" t="s">
        <v>30</v>
      </c>
      <c r="B5" s="25" t="s">
        <v>24</v>
      </c>
      <c r="C5" s="20" t="s">
        <v>21</v>
      </c>
      <c r="D5" s="20" t="s">
        <v>0</v>
      </c>
    </row>
    <row r="6" spans="1:4" x14ac:dyDescent="0.25">
      <c r="A6" s="24" t="s">
        <v>30</v>
      </c>
      <c r="B6" s="25" t="s">
        <v>24</v>
      </c>
      <c r="C6" s="20" t="s">
        <v>21</v>
      </c>
      <c r="D6" s="20" t="s">
        <v>2</v>
      </c>
    </row>
    <row r="7" spans="1:4" x14ac:dyDescent="0.25">
      <c r="A7" s="26" t="s">
        <v>30</v>
      </c>
      <c r="B7" s="27" t="s">
        <v>31</v>
      </c>
      <c r="C7" s="20" t="s">
        <v>16</v>
      </c>
      <c r="D7" s="20" t="s">
        <v>0</v>
      </c>
    </row>
    <row r="8" spans="1:4" x14ac:dyDescent="0.25">
      <c r="A8" s="26" t="s">
        <v>30</v>
      </c>
      <c r="B8" s="27" t="s">
        <v>31</v>
      </c>
      <c r="C8" s="20" t="s">
        <v>16</v>
      </c>
      <c r="D8" s="20" t="s">
        <v>2</v>
      </c>
    </row>
    <row r="9" spans="1:4" x14ac:dyDescent="0.25">
      <c r="A9" s="26" t="s">
        <v>30</v>
      </c>
      <c r="B9" s="27" t="s">
        <v>31</v>
      </c>
      <c r="C9" s="20" t="s">
        <v>21</v>
      </c>
      <c r="D9" s="20" t="s">
        <v>0</v>
      </c>
    </row>
    <row r="10" spans="1:4" x14ac:dyDescent="0.25">
      <c r="A10" s="26" t="s">
        <v>30</v>
      </c>
      <c r="B10" s="27" t="s">
        <v>31</v>
      </c>
      <c r="C10" s="20" t="s">
        <v>21</v>
      </c>
      <c r="D10" s="20" t="s">
        <v>2</v>
      </c>
    </row>
    <row r="12" spans="1:4" x14ac:dyDescent="0.25">
      <c r="A12" t="s">
        <v>47</v>
      </c>
    </row>
    <row r="13" spans="1:4" x14ac:dyDescent="0.25">
      <c r="A13" t="s">
        <v>29</v>
      </c>
      <c r="B13" t="s">
        <v>28</v>
      </c>
      <c r="C13" t="s">
        <v>39</v>
      </c>
      <c r="D13" t="s">
        <v>38</v>
      </c>
    </row>
    <row r="14" spans="1:4" x14ac:dyDescent="0.25">
      <c r="A14" s="28" t="s">
        <v>32</v>
      </c>
      <c r="B14" s="29" t="s">
        <v>24</v>
      </c>
      <c r="C14" s="20" t="s">
        <v>16</v>
      </c>
      <c r="D14" s="20" t="s">
        <v>0</v>
      </c>
    </row>
    <row r="15" spans="1:4" x14ac:dyDescent="0.25">
      <c r="A15" s="28" t="s">
        <v>32</v>
      </c>
      <c r="B15" s="29" t="s">
        <v>24</v>
      </c>
      <c r="C15" s="20" t="s">
        <v>16</v>
      </c>
      <c r="D15" s="20" t="s">
        <v>2</v>
      </c>
    </row>
    <row r="16" spans="1:4" x14ac:dyDescent="0.25">
      <c r="A16" s="28" t="s">
        <v>32</v>
      </c>
      <c r="B16" s="29" t="s">
        <v>24</v>
      </c>
      <c r="C16" s="20" t="s">
        <v>21</v>
      </c>
      <c r="D16" s="20" t="s">
        <v>0</v>
      </c>
    </row>
    <row r="17" spans="1:4" x14ac:dyDescent="0.25">
      <c r="A17" s="28" t="s">
        <v>32</v>
      </c>
      <c r="B17" s="29" t="s">
        <v>24</v>
      </c>
      <c r="C17" s="20" t="s">
        <v>21</v>
      </c>
      <c r="D17" s="20" t="s">
        <v>2</v>
      </c>
    </row>
    <row r="18" spans="1:4" x14ac:dyDescent="0.25">
      <c r="A18" s="30" t="s">
        <v>32</v>
      </c>
      <c r="B18" s="31" t="s">
        <v>31</v>
      </c>
      <c r="C18" s="20" t="s">
        <v>16</v>
      </c>
      <c r="D18" s="20" t="s">
        <v>0</v>
      </c>
    </row>
    <row r="19" spans="1:4" x14ac:dyDescent="0.25">
      <c r="A19" s="30" t="s">
        <v>32</v>
      </c>
      <c r="B19" s="31" t="s">
        <v>31</v>
      </c>
      <c r="C19" s="20" t="s">
        <v>16</v>
      </c>
      <c r="D19" s="20" t="s">
        <v>2</v>
      </c>
    </row>
    <row r="20" spans="1:4" x14ac:dyDescent="0.25">
      <c r="A20" s="30" t="s">
        <v>32</v>
      </c>
      <c r="B20" s="31" t="s">
        <v>31</v>
      </c>
      <c r="C20" s="20" t="s">
        <v>21</v>
      </c>
      <c r="D20" s="20" t="s">
        <v>0</v>
      </c>
    </row>
    <row r="21" spans="1:4" x14ac:dyDescent="0.25">
      <c r="A21" s="30" t="s">
        <v>32</v>
      </c>
      <c r="B21" s="31" t="s">
        <v>31</v>
      </c>
      <c r="C21" s="20" t="s">
        <v>21</v>
      </c>
      <c r="D21" s="20" t="s">
        <v>2</v>
      </c>
    </row>
    <row r="23" spans="1:4" x14ac:dyDescent="0.25">
      <c r="A23" t="s">
        <v>48</v>
      </c>
    </row>
    <row r="24" spans="1:4" x14ac:dyDescent="0.25">
      <c r="A24" t="s">
        <v>29</v>
      </c>
      <c r="B24" t="s">
        <v>28</v>
      </c>
      <c r="C24" t="s">
        <v>39</v>
      </c>
      <c r="D24" t="s">
        <v>38</v>
      </c>
    </row>
    <row r="25" spans="1:4" x14ac:dyDescent="0.25">
      <c r="A25" s="32" t="s">
        <v>32</v>
      </c>
      <c r="B25" s="33" t="s">
        <v>24</v>
      </c>
      <c r="C25" s="20" t="s">
        <v>16</v>
      </c>
      <c r="D25" s="20" t="s">
        <v>0</v>
      </c>
    </row>
    <row r="26" spans="1:4" x14ac:dyDescent="0.25">
      <c r="A26" s="32" t="s">
        <v>32</v>
      </c>
      <c r="B26" s="33" t="s">
        <v>24</v>
      </c>
      <c r="C26" s="20" t="s">
        <v>16</v>
      </c>
      <c r="D26" s="20" t="s">
        <v>2</v>
      </c>
    </row>
    <row r="27" spans="1:4" x14ac:dyDescent="0.25">
      <c r="A27" s="32" t="s">
        <v>32</v>
      </c>
      <c r="B27" s="33" t="s">
        <v>24</v>
      </c>
      <c r="C27" s="20" t="s">
        <v>21</v>
      </c>
      <c r="D27" s="20" t="s">
        <v>0</v>
      </c>
    </row>
    <row r="28" spans="1:4" x14ac:dyDescent="0.25">
      <c r="A28" s="32" t="s">
        <v>32</v>
      </c>
      <c r="B28" s="33" t="s">
        <v>24</v>
      </c>
      <c r="C28" s="20" t="s">
        <v>21</v>
      </c>
      <c r="D28" s="20" t="s">
        <v>2</v>
      </c>
    </row>
    <row r="29" spans="1:4" x14ac:dyDescent="0.25">
      <c r="A29" s="34" t="s">
        <v>32</v>
      </c>
      <c r="B29" s="35" t="s">
        <v>31</v>
      </c>
      <c r="C29" s="20" t="s">
        <v>16</v>
      </c>
      <c r="D29" s="20" t="s">
        <v>0</v>
      </c>
    </row>
    <row r="30" spans="1:4" x14ac:dyDescent="0.25">
      <c r="A30" s="34" t="s">
        <v>32</v>
      </c>
      <c r="B30" s="35" t="s">
        <v>31</v>
      </c>
      <c r="C30" s="20" t="s">
        <v>16</v>
      </c>
      <c r="D30" s="20" t="s">
        <v>2</v>
      </c>
    </row>
    <row r="31" spans="1:4" x14ac:dyDescent="0.25">
      <c r="A31" s="34" t="s">
        <v>32</v>
      </c>
      <c r="B31" s="35" t="s">
        <v>31</v>
      </c>
      <c r="C31" s="20" t="s">
        <v>21</v>
      </c>
      <c r="D31" s="20" t="s">
        <v>0</v>
      </c>
    </row>
    <row r="32" spans="1:4" x14ac:dyDescent="0.25">
      <c r="A32" s="34" t="s">
        <v>32</v>
      </c>
      <c r="B32" s="35" t="s">
        <v>31</v>
      </c>
      <c r="C32" s="20" t="s">
        <v>21</v>
      </c>
      <c r="D32" s="20" t="s">
        <v>2</v>
      </c>
    </row>
    <row r="33" spans="1:4" x14ac:dyDescent="0.25">
      <c r="A33" s="36" t="s">
        <v>33</v>
      </c>
      <c r="B33" s="37" t="s">
        <v>49</v>
      </c>
      <c r="C33" s="20" t="s">
        <v>16</v>
      </c>
      <c r="D33" s="20" t="s">
        <v>0</v>
      </c>
    </row>
    <row r="34" spans="1:4" x14ac:dyDescent="0.25">
      <c r="A34" s="36" t="s">
        <v>33</v>
      </c>
      <c r="B34" s="37" t="s">
        <v>49</v>
      </c>
      <c r="C34" s="20" t="s">
        <v>16</v>
      </c>
      <c r="D34" s="20" t="s">
        <v>2</v>
      </c>
    </row>
    <row r="35" spans="1:4" x14ac:dyDescent="0.25">
      <c r="A35" s="36" t="s">
        <v>33</v>
      </c>
      <c r="B35" s="37" t="s">
        <v>49</v>
      </c>
      <c r="C35" s="20" t="s">
        <v>21</v>
      </c>
      <c r="D35" s="20" t="s">
        <v>0</v>
      </c>
    </row>
    <row r="36" spans="1:4" x14ac:dyDescent="0.25">
      <c r="A36" s="36" t="s">
        <v>33</v>
      </c>
      <c r="B36" s="37" t="s">
        <v>49</v>
      </c>
      <c r="C36" s="20" t="s">
        <v>21</v>
      </c>
      <c r="D36" s="20" t="s">
        <v>2</v>
      </c>
    </row>
    <row r="37" spans="1:4" x14ac:dyDescent="0.25">
      <c r="A37" s="38" t="s">
        <v>33</v>
      </c>
      <c r="B37" s="39" t="s">
        <v>31</v>
      </c>
      <c r="C37" s="20" t="s">
        <v>16</v>
      </c>
      <c r="D37" s="20" t="s">
        <v>0</v>
      </c>
    </row>
    <row r="38" spans="1:4" x14ac:dyDescent="0.25">
      <c r="A38" s="38" t="s">
        <v>33</v>
      </c>
      <c r="B38" s="39" t="s">
        <v>31</v>
      </c>
      <c r="C38" s="20" t="s">
        <v>16</v>
      </c>
      <c r="D38" s="20" t="s">
        <v>2</v>
      </c>
    </row>
    <row r="39" spans="1:4" x14ac:dyDescent="0.25">
      <c r="A39" s="38" t="s">
        <v>33</v>
      </c>
      <c r="B39" s="39" t="s">
        <v>31</v>
      </c>
      <c r="C39" s="20" t="s">
        <v>21</v>
      </c>
      <c r="D39" s="20" t="s">
        <v>0</v>
      </c>
    </row>
    <row r="40" spans="1:4" x14ac:dyDescent="0.25">
      <c r="A40" s="38" t="s">
        <v>33</v>
      </c>
      <c r="B40" s="39" t="s">
        <v>31</v>
      </c>
      <c r="C40" s="20" t="s">
        <v>21</v>
      </c>
      <c r="D40" s="20" t="s">
        <v>2</v>
      </c>
    </row>
    <row r="42" spans="1:4" x14ac:dyDescent="0.25">
      <c r="A42" t="s">
        <v>50</v>
      </c>
    </row>
    <row r="43" spans="1:4" x14ac:dyDescent="0.25">
      <c r="A43" t="s">
        <v>29</v>
      </c>
      <c r="B43" t="s">
        <v>28</v>
      </c>
      <c r="C43" t="s">
        <v>39</v>
      </c>
      <c r="D43" t="s">
        <v>38</v>
      </c>
    </row>
    <row r="44" spans="1:4" x14ac:dyDescent="0.25">
      <c r="A44" s="40" t="s">
        <v>34</v>
      </c>
      <c r="B44" s="41" t="s">
        <v>24</v>
      </c>
      <c r="C44" s="20" t="s">
        <v>16</v>
      </c>
      <c r="D44" s="20" t="s">
        <v>0</v>
      </c>
    </row>
    <row r="45" spans="1:4" x14ac:dyDescent="0.25">
      <c r="A45" s="40" t="s">
        <v>34</v>
      </c>
      <c r="B45" s="41" t="s">
        <v>24</v>
      </c>
      <c r="C45" s="20" t="s">
        <v>16</v>
      </c>
      <c r="D45" s="20" t="s">
        <v>2</v>
      </c>
    </row>
    <row r="46" spans="1:4" x14ac:dyDescent="0.25">
      <c r="A46" s="40" t="s">
        <v>34</v>
      </c>
      <c r="B46" s="41" t="s">
        <v>24</v>
      </c>
      <c r="C46" s="20" t="s">
        <v>21</v>
      </c>
      <c r="D46" s="20" t="s">
        <v>0</v>
      </c>
    </row>
    <row r="47" spans="1:4" x14ac:dyDescent="0.25">
      <c r="A47" s="40" t="s">
        <v>34</v>
      </c>
      <c r="B47" s="41" t="s">
        <v>24</v>
      </c>
      <c r="C47" s="20" t="s">
        <v>21</v>
      </c>
      <c r="D47" s="20" t="s">
        <v>2</v>
      </c>
    </row>
    <row r="48" spans="1:4" x14ac:dyDescent="0.25">
      <c r="A48" s="42" t="s">
        <v>34</v>
      </c>
      <c r="B48" s="43" t="s">
        <v>31</v>
      </c>
      <c r="C48" s="20" t="s">
        <v>16</v>
      </c>
      <c r="D48" s="20" t="s">
        <v>0</v>
      </c>
    </row>
    <row r="49" spans="1:4" x14ac:dyDescent="0.25">
      <c r="A49" s="42" t="s">
        <v>34</v>
      </c>
      <c r="B49" s="43" t="s">
        <v>31</v>
      </c>
      <c r="C49" s="20" t="s">
        <v>16</v>
      </c>
      <c r="D49" s="20" t="s">
        <v>2</v>
      </c>
    </row>
    <row r="50" spans="1:4" x14ac:dyDescent="0.25">
      <c r="A50" s="42" t="s">
        <v>34</v>
      </c>
      <c r="B50" s="43" t="s">
        <v>31</v>
      </c>
      <c r="C50" s="20" t="s">
        <v>21</v>
      </c>
      <c r="D50" s="20" t="s">
        <v>0</v>
      </c>
    </row>
    <row r="51" spans="1:4" x14ac:dyDescent="0.25">
      <c r="A51" s="42" t="s">
        <v>34</v>
      </c>
      <c r="B51" s="43" t="s">
        <v>31</v>
      </c>
      <c r="C51" s="20" t="s">
        <v>21</v>
      </c>
      <c r="D51" s="20" t="s">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849A3-A262-4D81-8AE3-2C0ED456E1DC}">
  <dimension ref="A1:U55"/>
  <sheetViews>
    <sheetView tabSelected="1" zoomScale="85" zoomScaleNormal="85" workbookViewId="0">
      <pane xSplit="1" ySplit="3" topLeftCell="B4" activePane="bottomRight" state="frozen"/>
      <selection pane="topRight" activeCell="B1" sqref="B1"/>
      <selection pane="bottomLeft" activeCell="A4" sqref="A4"/>
      <selection pane="bottomRight" activeCell="C21" sqref="C21"/>
    </sheetView>
  </sheetViews>
  <sheetFormatPr defaultRowHeight="15" x14ac:dyDescent="0.25"/>
  <cols>
    <col min="1" max="1" width="11" bestFit="1" customWidth="1"/>
    <col min="2" max="2" width="9.7109375" style="16" bestFit="1" customWidth="1"/>
    <col min="3" max="3" width="9.7109375" style="17" bestFit="1" customWidth="1"/>
    <col min="4" max="4" width="14.42578125" style="18" bestFit="1" customWidth="1"/>
    <col min="5" max="5" width="15.28515625" style="18" bestFit="1" customWidth="1"/>
    <col min="6" max="6" width="16.85546875" style="18" bestFit="1" customWidth="1"/>
    <col min="7" max="7" width="16.85546875" style="18" customWidth="1"/>
    <col min="8" max="8" width="17.5703125" style="46" customWidth="1"/>
    <col min="9" max="9" width="13.42578125" style="18" customWidth="1"/>
    <col min="10" max="10" width="14.42578125" style="18" bestFit="1" customWidth="1"/>
    <col min="11" max="11" width="9.7109375" style="18" bestFit="1" customWidth="1"/>
    <col min="12" max="12" width="13.42578125" style="18" customWidth="1"/>
    <col min="13" max="13" width="21.5703125" style="18" customWidth="1"/>
    <col min="14" max="14" width="25.7109375" style="18" bestFit="1" customWidth="1"/>
    <col min="15" max="15" width="25.7109375" style="18" customWidth="1"/>
    <col min="16" max="16" width="20.140625" style="18" customWidth="1"/>
    <col min="17" max="17" width="9.7109375" style="18" bestFit="1" customWidth="1"/>
    <col min="18" max="18" width="20.140625" style="18" customWidth="1"/>
    <col min="19" max="20" width="19.28515625" style="18" customWidth="1"/>
    <col min="21" max="21" width="84.42578125" style="72" customWidth="1"/>
  </cols>
  <sheetData>
    <row r="1" spans="1:21" x14ac:dyDescent="0.25">
      <c r="A1" s="81" t="s">
        <v>12</v>
      </c>
      <c r="B1" s="81"/>
      <c r="C1" s="81"/>
      <c r="D1" s="81"/>
      <c r="E1" s="81"/>
      <c r="F1" s="81"/>
      <c r="G1" s="81"/>
      <c r="H1" s="81"/>
      <c r="I1" s="81"/>
      <c r="J1" s="81"/>
      <c r="K1" s="81"/>
      <c r="L1" s="81"/>
      <c r="M1" s="81"/>
      <c r="N1" s="81"/>
      <c r="O1" s="81"/>
      <c r="P1" s="81"/>
      <c r="Q1" s="81"/>
      <c r="R1" s="81"/>
      <c r="S1" s="81"/>
      <c r="T1" s="81"/>
      <c r="U1" s="89"/>
    </row>
    <row r="2" spans="1:21" x14ac:dyDescent="0.25">
      <c r="A2" s="79" t="s">
        <v>45</v>
      </c>
      <c r="B2" s="79"/>
      <c r="C2" s="79"/>
      <c r="D2" s="79"/>
      <c r="E2" s="79"/>
      <c r="F2" s="79"/>
      <c r="G2" s="79"/>
      <c r="H2" s="80"/>
      <c r="I2" s="83" t="s">
        <v>5</v>
      </c>
      <c r="J2" s="83"/>
      <c r="K2" s="83"/>
      <c r="L2" s="83"/>
      <c r="M2" s="83"/>
      <c r="N2" s="90" t="s">
        <v>9</v>
      </c>
      <c r="O2" s="91"/>
      <c r="P2" s="91"/>
      <c r="Q2" s="91"/>
      <c r="R2" s="92"/>
      <c r="S2" s="93" t="s">
        <v>42</v>
      </c>
      <c r="T2" s="93"/>
      <c r="U2" s="70"/>
    </row>
    <row r="3" spans="1:21" s="22" customFormat="1" ht="60" x14ac:dyDescent="0.25">
      <c r="A3" s="59" t="s">
        <v>53</v>
      </c>
      <c r="B3" s="59" t="s">
        <v>29</v>
      </c>
      <c r="C3" s="59" t="s">
        <v>28</v>
      </c>
      <c r="D3" s="59" t="s">
        <v>35</v>
      </c>
      <c r="E3" s="59" t="s">
        <v>27</v>
      </c>
      <c r="F3" s="59" t="s">
        <v>36</v>
      </c>
      <c r="G3" s="59" t="s">
        <v>37</v>
      </c>
      <c r="H3" s="62" t="s">
        <v>117</v>
      </c>
      <c r="I3" s="60" t="s">
        <v>39</v>
      </c>
      <c r="J3" s="60" t="s">
        <v>38</v>
      </c>
      <c r="K3" s="60" t="s">
        <v>44</v>
      </c>
      <c r="L3" s="60" t="s">
        <v>114</v>
      </c>
      <c r="M3" s="60" t="s">
        <v>40</v>
      </c>
      <c r="N3" s="61" t="s">
        <v>39</v>
      </c>
      <c r="O3" s="47" t="s">
        <v>41</v>
      </c>
      <c r="P3" s="54" t="s">
        <v>38</v>
      </c>
      <c r="Q3" s="54" t="s">
        <v>44</v>
      </c>
      <c r="R3" s="54" t="s">
        <v>100</v>
      </c>
      <c r="S3" s="54" t="s">
        <v>120</v>
      </c>
      <c r="T3" s="54" t="s">
        <v>121</v>
      </c>
      <c r="U3" s="66" t="s">
        <v>43</v>
      </c>
    </row>
    <row r="4" spans="1:21" ht="45" x14ac:dyDescent="0.25">
      <c r="A4" s="24" t="s">
        <v>111</v>
      </c>
      <c r="B4" s="24" t="s">
        <v>30</v>
      </c>
      <c r="C4" s="25" t="s">
        <v>24</v>
      </c>
      <c r="D4" s="6" t="s">
        <v>1</v>
      </c>
      <c r="E4" s="19">
        <v>20</v>
      </c>
      <c r="F4" s="19">
        <v>30</v>
      </c>
      <c r="G4" s="19">
        <v>0</v>
      </c>
      <c r="H4" s="63" t="s">
        <v>113</v>
      </c>
      <c r="I4" s="20" t="s">
        <v>16</v>
      </c>
      <c r="J4" s="20" t="s">
        <v>2</v>
      </c>
      <c r="K4" s="20">
        <v>20</v>
      </c>
      <c r="L4" s="69" t="s">
        <v>115</v>
      </c>
      <c r="M4" s="65">
        <v>0.59027777777777779</v>
      </c>
      <c r="N4" s="21" t="s">
        <v>16</v>
      </c>
      <c r="O4" s="64">
        <v>0.59027777777777779</v>
      </c>
      <c r="P4" s="57">
        <f t="shared" ref="P4:P36" si="0">O4-M4</f>
        <v>0</v>
      </c>
      <c r="Q4" s="21">
        <v>20</v>
      </c>
      <c r="R4" s="57" t="b">
        <v>0</v>
      </c>
      <c r="S4" s="21" t="s">
        <v>67</v>
      </c>
      <c r="T4" s="21" t="s">
        <v>67</v>
      </c>
      <c r="U4" s="71" t="s">
        <v>123</v>
      </c>
    </row>
    <row r="5" spans="1:21" ht="45" x14ac:dyDescent="0.25">
      <c r="A5" s="24" t="s">
        <v>111</v>
      </c>
      <c r="B5" s="24" t="s">
        <v>30</v>
      </c>
      <c r="C5" s="25" t="s">
        <v>24</v>
      </c>
      <c r="D5" s="6" t="s">
        <v>1</v>
      </c>
      <c r="E5" s="19">
        <v>20</v>
      </c>
      <c r="F5" s="19">
        <v>30</v>
      </c>
      <c r="G5" s="19">
        <v>0</v>
      </c>
      <c r="H5" s="63" t="s">
        <v>113</v>
      </c>
      <c r="I5" s="20" t="s">
        <v>16</v>
      </c>
      <c r="J5" s="20" t="s">
        <v>0</v>
      </c>
      <c r="K5" s="20">
        <v>20</v>
      </c>
      <c r="L5" s="21" t="s">
        <v>116</v>
      </c>
      <c r="M5" s="65">
        <v>0.63194444444444442</v>
      </c>
      <c r="N5" s="21" t="s">
        <v>16</v>
      </c>
      <c r="O5" s="64">
        <v>0.63888888888888895</v>
      </c>
      <c r="P5" s="57">
        <f t="shared" si="0"/>
        <v>6.9444444444445308E-3</v>
      </c>
      <c r="Q5" s="21">
        <v>20</v>
      </c>
      <c r="R5" s="57" t="b">
        <v>1</v>
      </c>
      <c r="S5" s="21" t="s">
        <v>67</v>
      </c>
      <c r="T5" s="21" t="s">
        <v>67</v>
      </c>
      <c r="U5" s="71" t="s">
        <v>126</v>
      </c>
    </row>
    <row r="6" spans="1:21" ht="45" x14ac:dyDescent="0.25">
      <c r="A6" s="24" t="s">
        <v>111</v>
      </c>
      <c r="B6" s="24" t="s">
        <v>30</v>
      </c>
      <c r="C6" s="25" t="s">
        <v>24</v>
      </c>
      <c r="D6" s="6" t="s">
        <v>1</v>
      </c>
      <c r="E6" s="19">
        <v>20</v>
      </c>
      <c r="F6" s="19">
        <v>30</v>
      </c>
      <c r="G6" s="19">
        <v>0</v>
      </c>
      <c r="H6" s="63" t="s">
        <v>113</v>
      </c>
      <c r="I6" s="20" t="s">
        <v>16</v>
      </c>
      <c r="J6" s="20" t="s">
        <v>2</v>
      </c>
      <c r="K6" s="20">
        <v>20</v>
      </c>
      <c r="L6" s="21" t="s">
        <v>116</v>
      </c>
      <c r="M6" s="65">
        <v>0.68402777777777779</v>
      </c>
      <c r="N6" s="21" t="s">
        <v>16</v>
      </c>
      <c r="O6" s="64">
        <v>0.69652777777777775</v>
      </c>
      <c r="P6" s="57">
        <f t="shared" si="0"/>
        <v>1.2499999999999956E-2</v>
      </c>
      <c r="Q6" s="21">
        <v>20</v>
      </c>
      <c r="R6" s="57" t="b">
        <v>1</v>
      </c>
      <c r="S6" s="21" t="s">
        <v>67</v>
      </c>
      <c r="T6" s="21" t="s">
        <v>67</v>
      </c>
      <c r="U6" s="71" t="s">
        <v>127</v>
      </c>
    </row>
    <row r="7" spans="1:21" ht="45" x14ac:dyDescent="0.25">
      <c r="A7" s="24" t="s">
        <v>111</v>
      </c>
      <c r="B7" s="24" t="s">
        <v>30</v>
      </c>
      <c r="C7" s="25" t="s">
        <v>24</v>
      </c>
      <c r="D7" s="6" t="s">
        <v>1</v>
      </c>
      <c r="E7" s="19">
        <v>20</v>
      </c>
      <c r="F7" s="19">
        <v>30</v>
      </c>
      <c r="G7" s="19">
        <v>0</v>
      </c>
      <c r="H7" s="63" t="s">
        <v>113</v>
      </c>
      <c r="I7" s="20" t="s">
        <v>16</v>
      </c>
      <c r="J7" s="20" t="s">
        <v>0</v>
      </c>
      <c r="K7" s="20">
        <v>20</v>
      </c>
      <c r="L7" s="69" t="s">
        <v>115</v>
      </c>
      <c r="M7" s="65">
        <v>0.46527777777777773</v>
      </c>
      <c r="N7" s="21" t="s">
        <v>16</v>
      </c>
      <c r="O7" s="64">
        <v>0.46527777777777773</v>
      </c>
      <c r="P7" s="57">
        <f t="shared" si="0"/>
        <v>0</v>
      </c>
      <c r="Q7" s="21">
        <v>20</v>
      </c>
      <c r="R7" s="57" t="b">
        <v>0</v>
      </c>
      <c r="S7" s="21" t="s">
        <v>67</v>
      </c>
      <c r="T7" s="21" t="s">
        <v>67</v>
      </c>
      <c r="U7" s="71" t="s">
        <v>122</v>
      </c>
    </row>
    <row r="8" spans="1:21" ht="75" x14ac:dyDescent="0.25">
      <c r="A8" s="24" t="s">
        <v>111</v>
      </c>
      <c r="B8" s="24" t="s">
        <v>30</v>
      </c>
      <c r="C8" s="25" t="s">
        <v>24</v>
      </c>
      <c r="D8" s="6" t="s">
        <v>1</v>
      </c>
      <c r="E8" s="19">
        <v>20</v>
      </c>
      <c r="F8" s="19">
        <v>30</v>
      </c>
      <c r="G8" s="19">
        <v>0</v>
      </c>
      <c r="H8" s="63" t="s">
        <v>113</v>
      </c>
      <c r="I8" s="20" t="s">
        <v>21</v>
      </c>
      <c r="J8" s="20" t="s">
        <v>2</v>
      </c>
      <c r="K8" s="20">
        <v>20</v>
      </c>
      <c r="L8" s="69" t="s">
        <v>115</v>
      </c>
      <c r="M8" s="65">
        <v>0.59027777777777779</v>
      </c>
      <c r="N8" s="21" t="s">
        <v>21</v>
      </c>
      <c r="O8" s="64">
        <v>0.59027777777777779</v>
      </c>
      <c r="P8" s="57">
        <f t="shared" si="0"/>
        <v>0</v>
      </c>
      <c r="Q8" s="21">
        <v>46</v>
      </c>
      <c r="R8" s="57" t="b">
        <v>0</v>
      </c>
      <c r="S8" s="21" t="s">
        <v>67</v>
      </c>
      <c r="T8" s="21" t="s">
        <v>68</v>
      </c>
      <c r="U8" s="71" t="s">
        <v>124</v>
      </c>
    </row>
    <row r="9" spans="1:21" ht="90" x14ac:dyDescent="0.25">
      <c r="A9" s="24" t="s">
        <v>111</v>
      </c>
      <c r="B9" s="24" t="s">
        <v>30</v>
      </c>
      <c r="C9" s="25" t="s">
        <v>24</v>
      </c>
      <c r="D9" s="6" t="s">
        <v>1</v>
      </c>
      <c r="E9" s="19">
        <v>20</v>
      </c>
      <c r="F9" s="19">
        <v>30</v>
      </c>
      <c r="G9" s="19">
        <v>0</v>
      </c>
      <c r="H9" s="63" t="s">
        <v>113</v>
      </c>
      <c r="I9" s="20" t="s">
        <v>21</v>
      </c>
      <c r="J9" s="20" t="s">
        <v>0</v>
      </c>
      <c r="K9" s="20">
        <v>20</v>
      </c>
      <c r="L9" s="21" t="s">
        <v>116</v>
      </c>
      <c r="M9" s="65">
        <v>0.46527777777777773</v>
      </c>
      <c r="N9" s="21" t="s">
        <v>21</v>
      </c>
      <c r="O9" s="64">
        <v>0.46527777777777773</v>
      </c>
      <c r="P9" s="57">
        <f t="shared" si="0"/>
        <v>0</v>
      </c>
      <c r="Q9" s="21">
        <v>47</v>
      </c>
      <c r="R9" s="57" t="b">
        <v>1</v>
      </c>
      <c r="S9" s="21" t="s">
        <v>67</v>
      </c>
      <c r="T9" s="21" t="s">
        <v>68</v>
      </c>
      <c r="U9" s="71" t="s">
        <v>131</v>
      </c>
    </row>
    <row r="10" spans="1:21" ht="90" x14ac:dyDescent="0.25">
      <c r="A10" s="24" t="s">
        <v>111</v>
      </c>
      <c r="B10" s="24" t="s">
        <v>30</v>
      </c>
      <c r="C10" s="25" t="s">
        <v>24</v>
      </c>
      <c r="D10" s="6" t="s">
        <v>1</v>
      </c>
      <c r="E10" s="19">
        <v>20</v>
      </c>
      <c r="F10" s="19">
        <v>30</v>
      </c>
      <c r="G10" s="19">
        <v>0</v>
      </c>
      <c r="H10" s="63" t="s">
        <v>113</v>
      </c>
      <c r="I10" s="20" t="s">
        <v>21</v>
      </c>
      <c r="J10" s="20" t="s">
        <v>2</v>
      </c>
      <c r="K10" s="20">
        <v>20</v>
      </c>
      <c r="L10" s="21" t="s">
        <v>116</v>
      </c>
      <c r="M10" s="65">
        <v>0.54513888888888895</v>
      </c>
      <c r="N10" s="21" t="s">
        <v>21</v>
      </c>
      <c r="O10" s="64">
        <v>0.54513888888888895</v>
      </c>
      <c r="P10" s="57">
        <f t="shared" si="0"/>
        <v>0</v>
      </c>
      <c r="Q10" s="21">
        <v>47</v>
      </c>
      <c r="R10" s="57" t="b">
        <v>1</v>
      </c>
      <c r="S10" s="21" t="s">
        <v>67</v>
      </c>
      <c r="T10" s="21" t="s">
        <v>68</v>
      </c>
      <c r="U10" s="71" t="s">
        <v>131</v>
      </c>
    </row>
    <row r="11" spans="1:21" ht="45" x14ac:dyDescent="0.25">
      <c r="A11" s="24" t="s">
        <v>111</v>
      </c>
      <c r="B11" s="24" t="s">
        <v>30</v>
      </c>
      <c r="C11" s="25" t="s">
        <v>24</v>
      </c>
      <c r="D11" s="6" t="s">
        <v>1</v>
      </c>
      <c r="E11" s="19">
        <v>20</v>
      </c>
      <c r="F11" s="19">
        <v>30</v>
      </c>
      <c r="G11" s="19">
        <v>0</v>
      </c>
      <c r="H11" s="63" t="s">
        <v>113</v>
      </c>
      <c r="I11" s="20" t="s">
        <v>21</v>
      </c>
      <c r="J11" s="20" t="s">
        <v>0</v>
      </c>
      <c r="K11" s="20">
        <v>20</v>
      </c>
      <c r="L11" s="69" t="s">
        <v>115</v>
      </c>
      <c r="M11" s="65">
        <v>0.65972222222222221</v>
      </c>
      <c r="N11" s="21" t="s">
        <v>21</v>
      </c>
      <c r="O11" s="64">
        <v>0.65972222222222221</v>
      </c>
      <c r="P11" s="57">
        <f t="shared" si="0"/>
        <v>0</v>
      </c>
      <c r="Q11" s="21">
        <v>20</v>
      </c>
      <c r="R11" s="57" t="b">
        <v>0</v>
      </c>
      <c r="S11" s="21" t="s">
        <v>67</v>
      </c>
      <c r="T11" s="21" t="s">
        <v>67</v>
      </c>
      <c r="U11" s="71" t="s">
        <v>122</v>
      </c>
    </row>
    <row r="12" spans="1:21" ht="45" x14ac:dyDescent="0.25">
      <c r="A12" s="24" t="s">
        <v>111</v>
      </c>
      <c r="B12" s="24" t="s">
        <v>30</v>
      </c>
      <c r="C12" s="25" t="s">
        <v>24</v>
      </c>
      <c r="D12" s="6" t="s">
        <v>1</v>
      </c>
      <c r="E12" s="19">
        <v>20</v>
      </c>
      <c r="F12" s="19">
        <v>0</v>
      </c>
      <c r="G12" s="19">
        <v>30</v>
      </c>
      <c r="H12" s="63" t="s">
        <v>113</v>
      </c>
      <c r="I12" s="20" t="s">
        <v>16</v>
      </c>
      <c r="J12" s="20" t="s">
        <v>2</v>
      </c>
      <c r="K12" s="20">
        <v>20</v>
      </c>
      <c r="L12" s="69" t="s">
        <v>115</v>
      </c>
      <c r="M12" s="65">
        <v>0.5</v>
      </c>
      <c r="N12" s="21" t="s">
        <v>16</v>
      </c>
      <c r="O12" s="64">
        <v>0.5</v>
      </c>
      <c r="P12" s="57">
        <f t="shared" si="0"/>
        <v>0</v>
      </c>
      <c r="Q12" s="21">
        <v>20</v>
      </c>
      <c r="R12" s="57" t="b">
        <v>0</v>
      </c>
      <c r="S12" s="21" t="s">
        <v>67</v>
      </c>
      <c r="T12" s="21" t="s">
        <v>67</v>
      </c>
      <c r="U12" s="71" t="s">
        <v>123</v>
      </c>
    </row>
    <row r="13" spans="1:21" ht="90" x14ac:dyDescent="0.25">
      <c r="A13" s="24" t="s">
        <v>111</v>
      </c>
      <c r="B13" s="24" t="s">
        <v>30</v>
      </c>
      <c r="C13" s="25" t="s">
        <v>24</v>
      </c>
      <c r="D13" s="6" t="s">
        <v>1</v>
      </c>
      <c r="E13" s="19">
        <v>20</v>
      </c>
      <c r="F13" s="19">
        <v>0</v>
      </c>
      <c r="G13" s="19">
        <v>30</v>
      </c>
      <c r="H13" s="63" t="s">
        <v>113</v>
      </c>
      <c r="I13" s="20" t="s">
        <v>16</v>
      </c>
      <c r="J13" s="20" t="s">
        <v>0</v>
      </c>
      <c r="K13" s="20">
        <v>20</v>
      </c>
      <c r="L13" s="21" t="s">
        <v>116</v>
      </c>
      <c r="M13" s="65">
        <v>0.5625</v>
      </c>
      <c r="N13" s="21" t="s">
        <v>16</v>
      </c>
      <c r="O13" s="64">
        <v>0.5625</v>
      </c>
      <c r="P13" s="57">
        <f t="shared" si="0"/>
        <v>0</v>
      </c>
      <c r="Q13" s="21">
        <v>29</v>
      </c>
      <c r="R13" s="57" t="b">
        <v>0</v>
      </c>
      <c r="S13" s="21" t="s">
        <v>67</v>
      </c>
      <c r="T13" s="21" t="s">
        <v>68</v>
      </c>
      <c r="U13" s="71" t="s">
        <v>130</v>
      </c>
    </row>
    <row r="14" spans="1:21" ht="90" x14ac:dyDescent="0.25">
      <c r="A14" s="24" t="s">
        <v>111</v>
      </c>
      <c r="B14" s="24" t="s">
        <v>30</v>
      </c>
      <c r="C14" s="25" t="s">
        <v>24</v>
      </c>
      <c r="D14" s="6" t="s">
        <v>1</v>
      </c>
      <c r="E14" s="19">
        <v>20</v>
      </c>
      <c r="F14" s="19">
        <v>0</v>
      </c>
      <c r="G14" s="19">
        <v>30</v>
      </c>
      <c r="H14" s="63" t="s">
        <v>113</v>
      </c>
      <c r="I14" s="20" t="s">
        <v>16</v>
      </c>
      <c r="J14" s="20" t="s">
        <v>2</v>
      </c>
      <c r="K14" s="20">
        <v>20</v>
      </c>
      <c r="L14" s="21" t="s">
        <v>116</v>
      </c>
      <c r="M14" s="65">
        <v>0.625</v>
      </c>
      <c r="N14" s="21" t="s">
        <v>16</v>
      </c>
      <c r="O14" s="64">
        <v>0.625</v>
      </c>
      <c r="P14" s="57">
        <f t="shared" si="0"/>
        <v>0</v>
      </c>
      <c r="Q14" s="21">
        <v>47</v>
      </c>
      <c r="R14" s="57" t="b">
        <v>0</v>
      </c>
      <c r="S14" s="21" t="s">
        <v>67</v>
      </c>
      <c r="T14" s="21" t="s">
        <v>68</v>
      </c>
      <c r="U14" s="71" t="s">
        <v>130</v>
      </c>
    </row>
    <row r="15" spans="1:21" ht="75" x14ac:dyDescent="0.25">
      <c r="A15" s="24" t="s">
        <v>111</v>
      </c>
      <c r="B15" s="24" t="s">
        <v>30</v>
      </c>
      <c r="C15" s="25" t="s">
        <v>24</v>
      </c>
      <c r="D15" s="6" t="s">
        <v>1</v>
      </c>
      <c r="E15" s="19">
        <v>20</v>
      </c>
      <c r="F15" s="19">
        <v>0</v>
      </c>
      <c r="G15" s="19">
        <v>30</v>
      </c>
      <c r="H15" s="63" t="s">
        <v>113</v>
      </c>
      <c r="I15" s="20" t="s">
        <v>16</v>
      </c>
      <c r="J15" s="20" t="s">
        <v>0</v>
      </c>
      <c r="K15" s="20">
        <v>20</v>
      </c>
      <c r="L15" s="69" t="s">
        <v>115</v>
      </c>
      <c r="M15" s="65">
        <v>0.6875</v>
      </c>
      <c r="N15" s="21" t="s">
        <v>16</v>
      </c>
      <c r="O15" s="64">
        <v>0.6875</v>
      </c>
      <c r="P15" s="57">
        <f t="shared" si="0"/>
        <v>0</v>
      </c>
      <c r="Q15" s="21">
        <v>49</v>
      </c>
      <c r="R15" s="57" t="b">
        <v>0</v>
      </c>
      <c r="S15" s="21" t="s">
        <v>67</v>
      </c>
      <c r="T15" s="21" t="s">
        <v>68</v>
      </c>
      <c r="U15" s="71" t="s">
        <v>125</v>
      </c>
    </row>
    <row r="16" spans="1:21" ht="45" x14ac:dyDescent="0.25">
      <c r="A16" s="24" t="s">
        <v>111</v>
      </c>
      <c r="B16" s="24" t="s">
        <v>30</v>
      </c>
      <c r="C16" s="25" t="s">
        <v>24</v>
      </c>
      <c r="D16" s="6" t="s">
        <v>1</v>
      </c>
      <c r="E16" s="19">
        <v>20</v>
      </c>
      <c r="F16" s="19">
        <v>0</v>
      </c>
      <c r="G16" s="19">
        <v>30</v>
      </c>
      <c r="H16" s="63" t="s">
        <v>113</v>
      </c>
      <c r="I16" s="20" t="s">
        <v>21</v>
      </c>
      <c r="J16" s="20" t="s">
        <v>2</v>
      </c>
      <c r="K16" s="20">
        <v>20</v>
      </c>
      <c r="L16" s="69" t="s">
        <v>115</v>
      </c>
      <c r="M16" s="65">
        <v>3.472222222222222E-3</v>
      </c>
      <c r="N16" s="21" t="s">
        <v>21</v>
      </c>
      <c r="O16" s="64">
        <v>3.472222222222222E-3</v>
      </c>
      <c r="P16" s="57">
        <f t="shared" si="0"/>
        <v>0</v>
      </c>
      <c r="Q16" s="21">
        <v>20</v>
      </c>
      <c r="R16" s="57" t="b">
        <v>0</v>
      </c>
      <c r="S16" s="21" t="s">
        <v>67</v>
      </c>
      <c r="T16" s="21" t="s">
        <v>67</v>
      </c>
      <c r="U16" s="71" t="s">
        <v>123</v>
      </c>
    </row>
    <row r="17" spans="1:21" ht="45" x14ac:dyDescent="0.25">
      <c r="A17" s="24" t="s">
        <v>111</v>
      </c>
      <c r="B17" s="24" t="s">
        <v>30</v>
      </c>
      <c r="C17" s="25" t="s">
        <v>24</v>
      </c>
      <c r="D17" s="6" t="s">
        <v>1</v>
      </c>
      <c r="E17" s="19">
        <v>20</v>
      </c>
      <c r="F17" s="19">
        <v>0</v>
      </c>
      <c r="G17" s="19">
        <v>30</v>
      </c>
      <c r="H17" s="63" t="s">
        <v>113</v>
      </c>
      <c r="I17" s="20" t="s">
        <v>21</v>
      </c>
      <c r="J17" s="20" t="s">
        <v>0</v>
      </c>
      <c r="K17" s="20">
        <v>20</v>
      </c>
      <c r="L17" s="21" t="s">
        <v>116</v>
      </c>
      <c r="M17" s="65">
        <v>6.25E-2</v>
      </c>
      <c r="N17" s="21" t="s">
        <v>21</v>
      </c>
      <c r="O17" s="64">
        <v>6.5972222222222224E-2</v>
      </c>
      <c r="P17" s="57">
        <f t="shared" si="0"/>
        <v>3.4722222222222238E-3</v>
      </c>
      <c r="Q17" s="21">
        <v>20</v>
      </c>
      <c r="R17" s="57" t="b">
        <v>1</v>
      </c>
      <c r="S17" s="21" t="s">
        <v>67</v>
      </c>
      <c r="T17" s="21" t="s">
        <v>67</v>
      </c>
      <c r="U17" s="71" t="s">
        <v>128</v>
      </c>
    </row>
    <row r="18" spans="1:21" ht="75" x14ac:dyDescent="0.25">
      <c r="A18" s="24" t="s">
        <v>111</v>
      </c>
      <c r="B18" s="24" t="s">
        <v>30</v>
      </c>
      <c r="C18" s="25" t="s">
        <v>24</v>
      </c>
      <c r="D18" s="6" t="s">
        <v>1</v>
      </c>
      <c r="E18" s="19">
        <v>20</v>
      </c>
      <c r="F18" s="19">
        <v>0</v>
      </c>
      <c r="G18" s="19">
        <v>30</v>
      </c>
      <c r="H18" s="63" t="s">
        <v>113</v>
      </c>
      <c r="I18" s="20" t="s">
        <v>21</v>
      </c>
      <c r="J18" s="20" t="s">
        <v>2</v>
      </c>
      <c r="K18" s="20">
        <v>20</v>
      </c>
      <c r="L18" s="21" t="s">
        <v>116</v>
      </c>
      <c r="M18" s="65">
        <v>0.125</v>
      </c>
      <c r="N18" s="21" t="s">
        <v>21</v>
      </c>
      <c r="O18" s="64">
        <v>0.125</v>
      </c>
      <c r="P18" s="57">
        <f t="shared" si="0"/>
        <v>0</v>
      </c>
      <c r="Q18" s="21">
        <v>20</v>
      </c>
      <c r="R18" s="57" t="b">
        <v>1</v>
      </c>
      <c r="S18" s="21" t="s">
        <v>68</v>
      </c>
      <c r="T18" s="21" t="s">
        <v>67</v>
      </c>
      <c r="U18" s="71" t="s">
        <v>132</v>
      </c>
    </row>
    <row r="19" spans="1:21" x14ac:dyDescent="0.25">
      <c r="A19" s="24" t="s">
        <v>111</v>
      </c>
      <c r="B19" s="24" t="s">
        <v>30</v>
      </c>
      <c r="C19" s="25" t="s">
        <v>24</v>
      </c>
      <c r="D19" s="6" t="s">
        <v>1</v>
      </c>
      <c r="E19" s="19">
        <v>20</v>
      </c>
      <c r="F19" s="19">
        <v>0</v>
      </c>
      <c r="G19" s="19">
        <v>30</v>
      </c>
      <c r="H19" s="63" t="s">
        <v>113</v>
      </c>
      <c r="I19" s="20" t="s">
        <v>21</v>
      </c>
      <c r="J19" s="20" t="s">
        <v>2</v>
      </c>
      <c r="K19" s="20">
        <v>20</v>
      </c>
      <c r="L19" s="21" t="s">
        <v>116</v>
      </c>
      <c r="M19" s="65">
        <v>0.46180555555555558</v>
      </c>
      <c r="N19" s="21" t="s">
        <v>21</v>
      </c>
      <c r="O19" s="64">
        <v>0.46736111111111112</v>
      </c>
      <c r="P19" s="57">
        <f t="shared" si="0"/>
        <v>5.5555555555555358E-3</v>
      </c>
      <c r="Q19" s="21">
        <v>20</v>
      </c>
      <c r="R19" s="57" t="b">
        <v>1</v>
      </c>
      <c r="S19" s="21" t="s">
        <v>67</v>
      </c>
      <c r="T19" s="21" t="s">
        <v>67</v>
      </c>
      <c r="U19" s="71"/>
    </row>
    <row r="20" spans="1:21" ht="45" x14ac:dyDescent="0.25">
      <c r="A20" s="24" t="s">
        <v>111</v>
      </c>
      <c r="B20" s="24" t="s">
        <v>30</v>
      </c>
      <c r="C20" s="25" t="s">
        <v>24</v>
      </c>
      <c r="D20" s="6" t="s">
        <v>1</v>
      </c>
      <c r="E20" s="19">
        <v>20</v>
      </c>
      <c r="F20" s="19">
        <v>0</v>
      </c>
      <c r="G20" s="19">
        <v>30</v>
      </c>
      <c r="H20" s="63" t="s">
        <v>113</v>
      </c>
      <c r="I20" s="20"/>
      <c r="J20" s="20"/>
      <c r="K20" s="20"/>
      <c r="L20" s="69"/>
      <c r="M20" s="65">
        <v>0.1875</v>
      </c>
      <c r="N20" s="21" t="s">
        <v>21</v>
      </c>
      <c r="O20" s="64">
        <v>0.1875</v>
      </c>
      <c r="P20" s="57">
        <f t="shared" si="0"/>
        <v>0</v>
      </c>
      <c r="Q20" s="21">
        <v>20</v>
      </c>
      <c r="R20" s="57" t="b">
        <v>0</v>
      </c>
      <c r="S20" s="21" t="s">
        <v>67</v>
      </c>
      <c r="T20" s="21" t="s">
        <v>67</v>
      </c>
      <c r="U20" s="71" t="s">
        <v>122</v>
      </c>
    </row>
    <row r="21" spans="1:21" ht="45" x14ac:dyDescent="0.25">
      <c r="A21" s="26" t="s">
        <v>112</v>
      </c>
      <c r="B21" s="26" t="s">
        <v>30</v>
      </c>
      <c r="C21" s="27" t="s">
        <v>31</v>
      </c>
      <c r="D21" s="6" t="s">
        <v>1</v>
      </c>
      <c r="E21" s="19">
        <v>20</v>
      </c>
      <c r="F21" s="19">
        <v>30</v>
      </c>
      <c r="G21" s="19">
        <v>0</v>
      </c>
      <c r="H21" s="63" t="s">
        <v>113</v>
      </c>
      <c r="I21" s="20" t="s">
        <v>16</v>
      </c>
      <c r="J21" s="20" t="s">
        <v>2</v>
      </c>
      <c r="K21" s="20">
        <v>20</v>
      </c>
      <c r="L21" s="69" t="s">
        <v>115</v>
      </c>
      <c r="M21" s="65">
        <v>0.59027777777777779</v>
      </c>
      <c r="N21" s="21" t="s">
        <v>16</v>
      </c>
      <c r="O21" s="64">
        <v>0.59027777777777779</v>
      </c>
      <c r="P21" s="57">
        <f t="shared" si="0"/>
        <v>0</v>
      </c>
      <c r="Q21" s="21">
        <v>20</v>
      </c>
      <c r="R21" s="57" t="b">
        <v>0</v>
      </c>
      <c r="S21" s="21" t="s">
        <v>67</v>
      </c>
      <c r="T21" s="21" t="s">
        <v>67</v>
      </c>
      <c r="U21" s="71" t="s">
        <v>123</v>
      </c>
    </row>
    <row r="22" spans="1:21" ht="45" x14ac:dyDescent="0.25">
      <c r="A22" s="26" t="s">
        <v>112</v>
      </c>
      <c r="B22" s="26" t="s">
        <v>30</v>
      </c>
      <c r="C22" s="27" t="s">
        <v>31</v>
      </c>
      <c r="D22" s="6" t="s">
        <v>1</v>
      </c>
      <c r="E22" s="19">
        <v>20</v>
      </c>
      <c r="F22" s="19">
        <v>30</v>
      </c>
      <c r="G22" s="19">
        <v>0</v>
      </c>
      <c r="H22" s="63" t="s">
        <v>113</v>
      </c>
      <c r="I22" s="20" t="s">
        <v>16</v>
      </c>
      <c r="J22" s="20" t="s">
        <v>0</v>
      </c>
      <c r="K22" s="20">
        <v>20</v>
      </c>
      <c r="L22" s="21" t="s">
        <v>116</v>
      </c>
      <c r="M22" s="65">
        <v>0.63194444444444442</v>
      </c>
      <c r="N22" s="21" t="s">
        <v>16</v>
      </c>
      <c r="O22" s="64">
        <v>0.64722222222222225</v>
      </c>
      <c r="P22" s="57">
        <f t="shared" si="0"/>
        <v>1.5277777777777835E-2</v>
      </c>
      <c r="Q22" s="21">
        <v>20</v>
      </c>
      <c r="R22" s="57" t="b">
        <v>1</v>
      </c>
      <c r="S22" s="21" t="s">
        <v>67</v>
      </c>
      <c r="T22" s="21" t="s">
        <v>67</v>
      </c>
      <c r="U22" s="71" t="s">
        <v>126</v>
      </c>
    </row>
    <row r="23" spans="1:21" ht="45" x14ac:dyDescent="0.25">
      <c r="A23" s="26" t="s">
        <v>112</v>
      </c>
      <c r="B23" s="26" t="s">
        <v>30</v>
      </c>
      <c r="C23" s="27" t="s">
        <v>31</v>
      </c>
      <c r="D23" s="6" t="s">
        <v>1</v>
      </c>
      <c r="E23" s="19">
        <v>20</v>
      </c>
      <c r="F23" s="19">
        <v>30</v>
      </c>
      <c r="G23" s="19">
        <v>0</v>
      </c>
      <c r="H23" s="63" t="s">
        <v>113</v>
      </c>
      <c r="I23" s="20" t="s">
        <v>16</v>
      </c>
      <c r="J23" s="20" t="s">
        <v>2</v>
      </c>
      <c r="K23" s="20">
        <v>20</v>
      </c>
      <c r="L23" s="21" t="s">
        <v>116</v>
      </c>
      <c r="M23" s="65">
        <v>0.68402777777777779</v>
      </c>
      <c r="N23" s="21" t="s">
        <v>16</v>
      </c>
      <c r="O23" s="64">
        <v>0.69930555555555562</v>
      </c>
      <c r="P23" s="57">
        <f t="shared" si="0"/>
        <v>1.5277777777777835E-2</v>
      </c>
      <c r="Q23" s="21">
        <v>20</v>
      </c>
      <c r="R23" s="57" t="b">
        <v>1</v>
      </c>
      <c r="S23" s="21" t="s">
        <v>67</v>
      </c>
      <c r="T23" s="21" t="s">
        <v>67</v>
      </c>
      <c r="U23" s="71" t="s">
        <v>127</v>
      </c>
    </row>
    <row r="24" spans="1:21" ht="45" x14ac:dyDescent="0.25">
      <c r="A24" s="26" t="s">
        <v>112</v>
      </c>
      <c r="B24" s="26" t="s">
        <v>30</v>
      </c>
      <c r="C24" s="27" t="s">
        <v>31</v>
      </c>
      <c r="D24" s="6" t="s">
        <v>1</v>
      </c>
      <c r="E24" s="19">
        <v>20</v>
      </c>
      <c r="F24" s="19">
        <v>30</v>
      </c>
      <c r="G24" s="19">
        <v>0</v>
      </c>
      <c r="H24" s="63" t="s">
        <v>113</v>
      </c>
      <c r="I24" s="20" t="s">
        <v>16</v>
      </c>
      <c r="J24" s="20" t="s">
        <v>0</v>
      </c>
      <c r="K24" s="20">
        <v>20</v>
      </c>
      <c r="L24" s="69" t="s">
        <v>115</v>
      </c>
      <c r="M24" s="65">
        <v>0.46527777777777773</v>
      </c>
      <c r="N24" s="21" t="s">
        <v>16</v>
      </c>
      <c r="O24" s="64">
        <v>0.46527777777777773</v>
      </c>
      <c r="P24" s="57">
        <f t="shared" si="0"/>
        <v>0</v>
      </c>
      <c r="Q24" s="21">
        <v>20</v>
      </c>
      <c r="R24" s="57" t="b">
        <v>0</v>
      </c>
      <c r="S24" s="21" t="s">
        <v>67</v>
      </c>
      <c r="T24" s="21" t="s">
        <v>67</v>
      </c>
      <c r="U24" s="71" t="s">
        <v>122</v>
      </c>
    </row>
    <row r="25" spans="1:21" ht="75" x14ac:dyDescent="0.25">
      <c r="A25" s="26" t="s">
        <v>112</v>
      </c>
      <c r="B25" s="26" t="s">
        <v>30</v>
      </c>
      <c r="C25" s="27" t="s">
        <v>31</v>
      </c>
      <c r="D25" s="6" t="s">
        <v>1</v>
      </c>
      <c r="E25" s="19">
        <v>20</v>
      </c>
      <c r="F25" s="19">
        <v>30</v>
      </c>
      <c r="G25" s="19">
        <v>0</v>
      </c>
      <c r="H25" s="63" t="s">
        <v>113</v>
      </c>
      <c r="I25" s="20" t="s">
        <v>21</v>
      </c>
      <c r="J25" s="20" t="s">
        <v>2</v>
      </c>
      <c r="K25" s="20">
        <v>20</v>
      </c>
      <c r="L25" s="69" t="s">
        <v>115</v>
      </c>
      <c r="M25" s="65">
        <v>0.59027777777777779</v>
      </c>
      <c r="N25" s="21" t="s">
        <v>21</v>
      </c>
      <c r="O25" s="64">
        <v>0.59027777777777779</v>
      </c>
      <c r="P25" s="57">
        <f t="shared" si="0"/>
        <v>0</v>
      </c>
      <c r="Q25" s="21">
        <v>23</v>
      </c>
      <c r="R25" s="57" t="b">
        <v>0</v>
      </c>
      <c r="S25" s="21" t="s">
        <v>67</v>
      </c>
      <c r="T25" s="21" t="s">
        <v>68</v>
      </c>
      <c r="U25" s="71" t="s">
        <v>124</v>
      </c>
    </row>
    <row r="26" spans="1:21" ht="90" x14ac:dyDescent="0.25">
      <c r="A26" s="26" t="s">
        <v>112</v>
      </c>
      <c r="B26" s="26" t="s">
        <v>30</v>
      </c>
      <c r="C26" s="27" t="s">
        <v>31</v>
      </c>
      <c r="D26" s="6" t="s">
        <v>1</v>
      </c>
      <c r="E26" s="19">
        <v>20</v>
      </c>
      <c r="F26" s="19">
        <v>30</v>
      </c>
      <c r="G26" s="19">
        <v>0</v>
      </c>
      <c r="H26" s="63" t="s">
        <v>113</v>
      </c>
      <c r="I26" s="20" t="s">
        <v>21</v>
      </c>
      <c r="J26" s="20" t="s">
        <v>0</v>
      </c>
      <c r="K26" s="20">
        <v>20</v>
      </c>
      <c r="L26" s="21" t="s">
        <v>116</v>
      </c>
      <c r="M26" s="65">
        <v>0.46527777777777773</v>
      </c>
      <c r="N26" s="21" t="s">
        <v>21</v>
      </c>
      <c r="O26" s="64">
        <v>0.46527777777777773</v>
      </c>
      <c r="P26" s="57">
        <f t="shared" si="0"/>
        <v>0</v>
      </c>
      <c r="Q26" s="21">
        <v>40</v>
      </c>
      <c r="R26" s="57" t="b">
        <v>1</v>
      </c>
      <c r="S26" s="21" t="s">
        <v>67</v>
      </c>
      <c r="T26" s="21" t="s">
        <v>68</v>
      </c>
      <c r="U26" s="71" t="s">
        <v>131</v>
      </c>
    </row>
    <row r="27" spans="1:21" ht="90" x14ac:dyDescent="0.25">
      <c r="A27" s="26" t="s">
        <v>112</v>
      </c>
      <c r="B27" s="26" t="s">
        <v>30</v>
      </c>
      <c r="C27" s="27" t="s">
        <v>31</v>
      </c>
      <c r="D27" s="6" t="s">
        <v>1</v>
      </c>
      <c r="E27" s="19">
        <v>20</v>
      </c>
      <c r="F27" s="19">
        <v>30</v>
      </c>
      <c r="G27" s="19">
        <v>0</v>
      </c>
      <c r="H27" s="63" t="s">
        <v>113</v>
      </c>
      <c r="I27" s="20" t="s">
        <v>21</v>
      </c>
      <c r="J27" s="20" t="s">
        <v>2</v>
      </c>
      <c r="K27" s="20">
        <v>20</v>
      </c>
      <c r="L27" s="21" t="s">
        <v>116</v>
      </c>
      <c r="M27" s="65">
        <v>0.54513888888888895</v>
      </c>
      <c r="N27" s="21" t="s">
        <v>21</v>
      </c>
      <c r="O27" s="64">
        <v>0.54513888888888895</v>
      </c>
      <c r="P27" s="57">
        <f t="shared" si="0"/>
        <v>0</v>
      </c>
      <c r="Q27" s="21">
        <v>44</v>
      </c>
      <c r="R27" s="57" t="b">
        <v>1</v>
      </c>
      <c r="S27" s="21" t="s">
        <v>67</v>
      </c>
      <c r="T27" s="21" t="s">
        <v>68</v>
      </c>
      <c r="U27" s="71" t="s">
        <v>131</v>
      </c>
    </row>
    <row r="28" spans="1:21" ht="45" x14ac:dyDescent="0.25">
      <c r="A28" s="26" t="s">
        <v>112</v>
      </c>
      <c r="B28" s="26" t="s">
        <v>30</v>
      </c>
      <c r="C28" s="27" t="s">
        <v>31</v>
      </c>
      <c r="D28" s="6" t="s">
        <v>1</v>
      </c>
      <c r="E28" s="19">
        <v>20</v>
      </c>
      <c r="F28" s="19">
        <v>30</v>
      </c>
      <c r="G28" s="19">
        <v>0</v>
      </c>
      <c r="H28" s="63" t="s">
        <v>113</v>
      </c>
      <c r="I28" s="20" t="s">
        <v>21</v>
      </c>
      <c r="J28" s="20" t="s">
        <v>0</v>
      </c>
      <c r="K28" s="20">
        <v>20</v>
      </c>
      <c r="L28" s="69" t="s">
        <v>115</v>
      </c>
      <c r="M28" s="65">
        <v>0.65972222222222221</v>
      </c>
      <c r="N28" s="21" t="s">
        <v>21</v>
      </c>
      <c r="O28" s="64">
        <v>0.65972222222222221</v>
      </c>
      <c r="P28" s="57">
        <f t="shared" si="0"/>
        <v>0</v>
      </c>
      <c r="Q28" s="21">
        <v>20</v>
      </c>
      <c r="R28" s="57" t="b">
        <v>0</v>
      </c>
      <c r="S28" s="21" t="s">
        <v>67</v>
      </c>
      <c r="T28" s="21" t="s">
        <v>67</v>
      </c>
      <c r="U28" s="71" t="s">
        <v>122</v>
      </c>
    </row>
    <row r="29" spans="1:21" ht="75" x14ac:dyDescent="0.25">
      <c r="A29" s="26" t="s">
        <v>112</v>
      </c>
      <c r="B29" s="26" t="s">
        <v>30</v>
      </c>
      <c r="C29" s="27" t="s">
        <v>31</v>
      </c>
      <c r="D29" s="6" t="s">
        <v>1</v>
      </c>
      <c r="E29" s="19">
        <v>20</v>
      </c>
      <c r="F29" s="19">
        <v>0</v>
      </c>
      <c r="G29" s="19">
        <v>30</v>
      </c>
      <c r="H29" s="63" t="s">
        <v>113</v>
      </c>
      <c r="I29" s="20" t="s">
        <v>16</v>
      </c>
      <c r="J29" s="20" t="s">
        <v>2</v>
      </c>
      <c r="K29" s="20">
        <v>20</v>
      </c>
      <c r="L29" s="69" t="s">
        <v>115</v>
      </c>
      <c r="M29" s="65">
        <v>0.5</v>
      </c>
      <c r="N29" s="21" t="s">
        <v>16</v>
      </c>
      <c r="O29" s="64">
        <v>0.5</v>
      </c>
      <c r="P29" s="57">
        <f t="shared" si="0"/>
        <v>0</v>
      </c>
      <c r="Q29" s="21">
        <v>45</v>
      </c>
      <c r="R29" s="57" t="b">
        <v>0</v>
      </c>
      <c r="S29" s="21" t="s">
        <v>67</v>
      </c>
      <c r="T29" s="21" t="s">
        <v>68</v>
      </c>
      <c r="U29" s="71" t="s">
        <v>125</v>
      </c>
    </row>
    <row r="30" spans="1:21" ht="90" x14ac:dyDescent="0.25">
      <c r="A30" s="26" t="s">
        <v>112</v>
      </c>
      <c r="B30" s="26" t="s">
        <v>30</v>
      </c>
      <c r="C30" s="27" t="s">
        <v>31</v>
      </c>
      <c r="D30" s="6" t="s">
        <v>1</v>
      </c>
      <c r="E30" s="19">
        <v>20</v>
      </c>
      <c r="F30" s="19">
        <v>0</v>
      </c>
      <c r="G30" s="19">
        <v>30</v>
      </c>
      <c r="H30" s="63" t="s">
        <v>113</v>
      </c>
      <c r="I30" s="20" t="s">
        <v>16</v>
      </c>
      <c r="J30" s="20" t="s">
        <v>0</v>
      </c>
      <c r="K30" s="20">
        <v>20</v>
      </c>
      <c r="L30" s="21" t="s">
        <v>116</v>
      </c>
      <c r="M30" s="65">
        <v>0.5625</v>
      </c>
      <c r="N30" s="21" t="s">
        <v>16</v>
      </c>
      <c r="O30" s="64">
        <v>0.5625</v>
      </c>
      <c r="P30" s="57">
        <f t="shared" si="0"/>
        <v>0</v>
      </c>
      <c r="Q30" s="21">
        <v>22</v>
      </c>
      <c r="R30" s="57" t="b">
        <v>0</v>
      </c>
      <c r="S30" s="21" t="s">
        <v>67</v>
      </c>
      <c r="T30" s="21" t="s">
        <v>68</v>
      </c>
      <c r="U30" s="71" t="s">
        <v>130</v>
      </c>
    </row>
    <row r="31" spans="1:21" ht="90" x14ac:dyDescent="0.25">
      <c r="A31" s="26" t="s">
        <v>112</v>
      </c>
      <c r="B31" s="26" t="s">
        <v>30</v>
      </c>
      <c r="C31" s="27" t="s">
        <v>31</v>
      </c>
      <c r="D31" s="6" t="s">
        <v>1</v>
      </c>
      <c r="E31" s="19">
        <v>20</v>
      </c>
      <c r="F31" s="19">
        <v>0</v>
      </c>
      <c r="G31" s="19">
        <v>30</v>
      </c>
      <c r="H31" s="63" t="s">
        <v>113</v>
      </c>
      <c r="I31" s="20" t="s">
        <v>16</v>
      </c>
      <c r="J31" s="20" t="s">
        <v>2</v>
      </c>
      <c r="K31" s="20">
        <v>20</v>
      </c>
      <c r="L31" s="21" t="s">
        <v>116</v>
      </c>
      <c r="M31" s="65">
        <v>0.625</v>
      </c>
      <c r="N31" s="21" t="s">
        <v>16</v>
      </c>
      <c r="O31" s="64">
        <v>0.625</v>
      </c>
      <c r="P31" s="57">
        <f t="shared" si="0"/>
        <v>0</v>
      </c>
      <c r="Q31" s="21">
        <v>25</v>
      </c>
      <c r="R31" s="57" t="b">
        <v>0</v>
      </c>
      <c r="S31" s="21" t="s">
        <v>67</v>
      </c>
      <c r="T31" s="21" t="s">
        <v>68</v>
      </c>
      <c r="U31" s="71" t="s">
        <v>130</v>
      </c>
    </row>
    <row r="32" spans="1:21" ht="75" x14ac:dyDescent="0.25">
      <c r="A32" s="26" t="s">
        <v>112</v>
      </c>
      <c r="B32" s="26" t="s">
        <v>30</v>
      </c>
      <c r="C32" s="27" t="s">
        <v>31</v>
      </c>
      <c r="D32" s="6" t="s">
        <v>1</v>
      </c>
      <c r="E32" s="19">
        <v>20</v>
      </c>
      <c r="F32" s="19">
        <v>0</v>
      </c>
      <c r="G32" s="19">
        <v>30</v>
      </c>
      <c r="H32" s="63" t="s">
        <v>113</v>
      </c>
      <c r="I32" s="20" t="s">
        <v>16</v>
      </c>
      <c r="J32" s="20" t="s">
        <v>0</v>
      </c>
      <c r="K32" s="20">
        <v>20</v>
      </c>
      <c r="L32" s="69" t="s">
        <v>115</v>
      </c>
      <c r="M32" s="65">
        <v>0.6875</v>
      </c>
      <c r="N32" s="21" t="s">
        <v>16</v>
      </c>
      <c r="O32" s="64">
        <v>0.6875</v>
      </c>
      <c r="P32" s="57">
        <f t="shared" si="0"/>
        <v>0</v>
      </c>
      <c r="Q32" s="21">
        <v>40</v>
      </c>
      <c r="R32" s="57" t="b">
        <v>0</v>
      </c>
      <c r="S32" s="21" t="s">
        <v>67</v>
      </c>
      <c r="T32" s="21" t="s">
        <v>68</v>
      </c>
      <c r="U32" s="71" t="s">
        <v>125</v>
      </c>
    </row>
    <row r="33" spans="1:21" ht="45" x14ac:dyDescent="0.25">
      <c r="A33" s="26" t="s">
        <v>112</v>
      </c>
      <c r="B33" s="26" t="s">
        <v>30</v>
      </c>
      <c r="C33" s="27" t="s">
        <v>31</v>
      </c>
      <c r="D33" s="6" t="s">
        <v>1</v>
      </c>
      <c r="E33" s="19">
        <v>20</v>
      </c>
      <c r="F33" s="19">
        <v>0</v>
      </c>
      <c r="G33" s="19">
        <v>30</v>
      </c>
      <c r="H33" s="63" t="s">
        <v>113</v>
      </c>
      <c r="I33" s="20" t="s">
        <v>21</v>
      </c>
      <c r="J33" s="20" t="s">
        <v>2</v>
      </c>
      <c r="K33" s="20">
        <v>20</v>
      </c>
      <c r="L33" s="69" t="s">
        <v>115</v>
      </c>
      <c r="M33" s="65">
        <v>3.472222222222222E-3</v>
      </c>
      <c r="N33" s="21" t="s">
        <v>21</v>
      </c>
      <c r="O33" s="64">
        <v>3.472222222222222E-3</v>
      </c>
      <c r="P33" s="57">
        <f t="shared" si="0"/>
        <v>0</v>
      </c>
      <c r="Q33" s="21">
        <v>20</v>
      </c>
      <c r="R33" s="57" t="b">
        <v>0</v>
      </c>
      <c r="S33" s="21" t="s">
        <v>67</v>
      </c>
      <c r="T33" s="21" t="s">
        <v>67</v>
      </c>
      <c r="U33" s="71" t="s">
        <v>123</v>
      </c>
    </row>
    <row r="34" spans="1:21" ht="45" x14ac:dyDescent="0.25">
      <c r="A34" s="26" t="s">
        <v>112</v>
      </c>
      <c r="B34" s="26" t="s">
        <v>30</v>
      </c>
      <c r="C34" s="27" t="s">
        <v>31</v>
      </c>
      <c r="D34" s="6" t="s">
        <v>1</v>
      </c>
      <c r="E34" s="19">
        <v>20</v>
      </c>
      <c r="F34" s="19">
        <v>0</v>
      </c>
      <c r="G34" s="19">
        <v>30</v>
      </c>
      <c r="H34" s="63" t="s">
        <v>113</v>
      </c>
      <c r="I34" s="20" t="s">
        <v>21</v>
      </c>
      <c r="J34" s="20" t="s">
        <v>0</v>
      </c>
      <c r="K34" s="20">
        <v>20</v>
      </c>
      <c r="L34" s="21" t="s">
        <v>116</v>
      </c>
      <c r="M34" s="65">
        <v>6.25E-2</v>
      </c>
      <c r="N34" s="21" t="s">
        <v>21</v>
      </c>
      <c r="O34" s="64">
        <v>7.8472222222222221E-2</v>
      </c>
      <c r="P34" s="57">
        <f t="shared" si="0"/>
        <v>1.5972222222222221E-2</v>
      </c>
      <c r="Q34" s="21">
        <v>20</v>
      </c>
      <c r="R34" s="57" t="b">
        <v>1</v>
      </c>
      <c r="S34" s="21" t="s">
        <v>67</v>
      </c>
      <c r="T34" s="21" t="s">
        <v>67</v>
      </c>
      <c r="U34" s="71" t="s">
        <v>128</v>
      </c>
    </row>
    <row r="35" spans="1:21" ht="45" x14ac:dyDescent="0.25">
      <c r="A35" s="26" t="s">
        <v>112</v>
      </c>
      <c r="B35" s="26" t="s">
        <v>30</v>
      </c>
      <c r="C35" s="27" t="s">
        <v>31</v>
      </c>
      <c r="D35" s="6" t="s">
        <v>1</v>
      </c>
      <c r="E35" s="19">
        <v>20</v>
      </c>
      <c r="F35" s="19">
        <v>0</v>
      </c>
      <c r="G35" s="19">
        <v>30</v>
      </c>
      <c r="H35" s="63" t="s">
        <v>113</v>
      </c>
      <c r="I35" s="20" t="s">
        <v>21</v>
      </c>
      <c r="J35" s="20" t="s">
        <v>2</v>
      </c>
      <c r="K35" s="20">
        <v>20</v>
      </c>
      <c r="L35" s="21" t="s">
        <v>116</v>
      </c>
      <c r="M35" s="65">
        <v>0.125</v>
      </c>
      <c r="N35" s="21" t="s">
        <v>21</v>
      </c>
      <c r="O35" s="64">
        <v>0.1277777777777778</v>
      </c>
      <c r="P35" s="57">
        <f t="shared" si="0"/>
        <v>2.7777777777777957E-3</v>
      </c>
      <c r="Q35" s="21">
        <v>20</v>
      </c>
      <c r="R35" s="57" t="b">
        <v>1</v>
      </c>
      <c r="S35" s="21" t="s">
        <v>67</v>
      </c>
      <c r="T35" s="21" t="s">
        <v>67</v>
      </c>
      <c r="U35" s="71" t="s">
        <v>129</v>
      </c>
    </row>
    <row r="36" spans="1:21" ht="45" x14ac:dyDescent="0.25">
      <c r="A36" s="26" t="s">
        <v>112</v>
      </c>
      <c r="B36" s="26" t="s">
        <v>30</v>
      </c>
      <c r="C36" s="27" t="s">
        <v>31</v>
      </c>
      <c r="D36" s="6" t="s">
        <v>1</v>
      </c>
      <c r="E36" s="19">
        <v>20</v>
      </c>
      <c r="F36" s="19">
        <v>0</v>
      </c>
      <c r="G36" s="19">
        <v>30</v>
      </c>
      <c r="H36" s="63" t="s">
        <v>113</v>
      </c>
      <c r="I36" s="20" t="s">
        <v>21</v>
      </c>
      <c r="J36" s="20" t="s">
        <v>0</v>
      </c>
      <c r="K36" s="20">
        <v>20</v>
      </c>
      <c r="L36" s="69" t="s">
        <v>115</v>
      </c>
      <c r="M36" s="65">
        <v>0.1875</v>
      </c>
      <c r="N36" s="21" t="s">
        <v>21</v>
      </c>
      <c r="O36" s="64">
        <v>0.1875</v>
      </c>
      <c r="P36" s="57">
        <f t="shared" si="0"/>
        <v>0</v>
      </c>
      <c r="Q36" s="21">
        <v>20</v>
      </c>
      <c r="R36" s="57" t="b">
        <v>0</v>
      </c>
      <c r="S36" s="21" t="s">
        <v>67</v>
      </c>
      <c r="T36" s="21" t="s">
        <v>67</v>
      </c>
      <c r="U36" s="71" t="s">
        <v>122</v>
      </c>
    </row>
    <row r="38" spans="1:21" x14ac:dyDescent="0.25">
      <c r="A38" s="68" t="s">
        <v>118</v>
      </c>
    </row>
    <row r="39" spans="1:21" x14ac:dyDescent="0.25">
      <c r="A39" s="67"/>
    </row>
    <row r="40" spans="1:21" x14ac:dyDescent="0.25">
      <c r="A40" s="68" t="s">
        <v>119</v>
      </c>
      <c r="U40" s="18"/>
    </row>
    <row r="41" spans="1:21" x14ac:dyDescent="0.25">
      <c r="O41" s="76" t="s">
        <v>117</v>
      </c>
      <c r="P41" s="76" t="s">
        <v>134</v>
      </c>
      <c r="Q41" s="76" t="s">
        <v>135</v>
      </c>
      <c r="U41" s="18"/>
    </row>
    <row r="42" spans="1:21" x14ac:dyDescent="0.25">
      <c r="O42" s="76">
        <v>0</v>
      </c>
      <c r="P42" s="76">
        <v>0</v>
      </c>
      <c r="Q42" s="76" t="s">
        <v>2</v>
      </c>
      <c r="U42" s="18"/>
    </row>
    <row r="43" spans="1:21" x14ac:dyDescent="0.25">
      <c r="O43" s="76">
        <v>0</v>
      </c>
      <c r="P43" s="76">
        <v>1</v>
      </c>
      <c r="Q43" s="76" t="s">
        <v>2</v>
      </c>
      <c r="U43" s="18"/>
    </row>
    <row r="44" spans="1:21" x14ac:dyDescent="0.25">
      <c r="O44" s="76">
        <v>1</v>
      </c>
      <c r="P44" s="76">
        <v>0</v>
      </c>
      <c r="Q44" s="76" t="s">
        <v>2</v>
      </c>
    </row>
    <row r="45" spans="1:21" x14ac:dyDescent="0.25">
      <c r="A45" t="s">
        <v>133</v>
      </c>
      <c r="O45" s="76">
        <v>1</v>
      </c>
      <c r="P45" s="76">
        <v>1</v>
      </c>
      <c r="Q45" s="76" t="s">
        <v>0</v>
      </c>
    </row>
    <row r="47" spans="1:21" x14ac:dyDescent="0.25">
      <c r="A47" t="s">
        <v>136</v>
      </c>
    </row>
    <row r="49" spans="1:1" x14ac:dyDescent="0.25">
      <c r="A49" t="s">
        <v>137</v>
      </c>
    </row>
    <row r="51" spans="1:1" x14ac:dyDescent="0.25">
      <c r="A51" t="s">
        <v>138</v>
      </c>
    </row>
    <row r="53" spans="1:1" x14ac:dyDescent="0.25">
      <c r="A53" t="s">
        <v>139</v>
      </c>
    </row>
    <row r="55" spans="1:1" x14ac:dyDescent="0.25">
      <c r="A55" t="s">
        <v>140</v>
      </c>
    </row>
  </sheetData>
  <autoFilter ref="A3:U36" xr:uid="{C8A849A3-A262-4D81-8AE3-2C0ED456E1DC}"/>
  <mergeCells count="5">
    <mergeCell ref="A1:U1"/>
    <mergeCell ref="A2:H2"/>
    <mergeCell ref="I2:M2"/>
    <mergeCell ref="N2:R2"/>
    <mergeCell ref="S2:T2"/>
  </mergeCells>
  <conditionalFormatting sqref="Q4:Q36">
    <cfRule type="cellIs" dxfId="17" priority="24" operator="notEqual">
      <formula>K4</formula>
    </cfRule>
    <cfRule type="cellIs" dxfId="16" priority="25" operator="equal">
      <formula>K4</formula>
    </cfRule>
  </conditionalFormatting>
  <conditionalFormatting sqref="S4:T36">
    <cfRule type="cellIs" dxfId="15" priority="22" operator="notEqual">
      <formula>"PASS"</formula>
    </cfRule>
    <cfRule type="cellIs" dxfId="14" priority="23" operator="equal">
      <formula>"PASS"</formula>
    </cfRule>
  </conditionalFormatting>
  <conditionalFormatting sqref="R4:R36">
    <cfRule type="cellIs" dxfId="13" priority="9" operator="equal">
      <formula>TRUE</formula>
    </cfRule>
  </conditionalFormatting>
  <conditionalFormatting sqref="R4:R36">
    <cfRule type="cellIs" dxfId="12" priority="1" operator="equal">
      <formula>FALSE</formula>
    </cfRule>
  </conditionalFormatting>
  <pageMargins left="0.7" right="0.7" top="0.75" bottom="0.75" header="0.3" footer="0.3"/>
  <pageSetup paperSize="9" orientation="portrait" r:id="rId1"/>
  <ignoredErrors>
    <ignoredError sqref="H20:H36 H4:H18" numberStoredAsText="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5B177-AF33-4BA7-BD6D-93AA4D057544}">
  <dimension ref="A1:T22"/>
  <sheetViews>
    <sheetView zoomScale="115" zoomScaleNormal="115" workbookViewId="0">
      <selection activeCell="A4" sqref="A4"/>
    </sheetView>
  </sheetViews>
  <sheetFormatPr defaultRowHeight="15" x14ac:dyDescent="0.25"/>
  <cols>
    <col min="1" max="1" width="11" bestFit="1" customWidth="1"/>
    <col min="2" max="2" width="9.7109375" style="16" bestFit="1" customWidth="1"/>
    <col min="3" max="3" width="9.7109375" style="17" bestFit="1" customWidth="1"/>
    <col min="4" max="4" width="14.42578125" style="18" bestFit="1" customWidth="1"/>
    <col min="5" max="5" width="15.28515625" style="18" bestFit="1" customWidth="1"/>
    <col min="6" max="6" width="16.85546875" style="18" bestFit="1" customWidth="1"/>
    <col min="7" max="7" width="17.5703125" style="18" customWidth="1"/>
    <col min="8" max="8" width="10.7109375" style="18" bestFit="1" customWidth="1"/>
    <col min="9" max="9" width="14.42578125" style="18" bestFit="1" customWidth="1"/>
    <col min="10" max="10" width="9.7109375" style="18" bestFit="1" customWidth="1"/>
    <col min="11" max="11" width="21.5703125" style="18" customWidth="1"/>
    <col min="12" max="12" width="25.7109375" style="18" bestFit="1" customWidth="1"/>
    <col min="13" max="13" width="25.7109375" style="18" customWidth="1"/>
    <col min="14" max="14" width="20.140625" style="18" customWidth="1"/>
    <col min="15" max="15" width="9.7109375" style="18" bestFit="1" customWidth="1"/>
    <col min="16" max="16" width="20.140625" style="18" customWidth="1"/>
    <col min="17" max="17" width="11.28515625" style="18" bestFit="1" customWidth="1"/>
    <col min="18" max="18" width="84.28515625" style="1" customWidth="1"/>
    <col min="19" max="19" width="102.140625" style="1" customWidth="1"/>
    <col min="20" max="20" width="83.7109375" style="1" customWidth="1"/>
  </cols>
  <sheetData>
    <row r="1" spans="1:18" x14ac:dyDescent="0.25">
      <c r="A1" s="81" t="s">
        <v>51</v>
      </c>
      <c r="B1" s="81"/>
      <c r="C1" s="81"/>
      <c r="D1" s="81"/>
      <c r="E1" s="81"/>
      <c r="F1" s="81"/>
      <c r="G1" s="81"/>
      <c r="H1" s="81"/>
      <c r="I1" s="81"/>
      <c r="J1" s="81"/>
      <c r="K1" s="81"/>
      <c r="L1" s="81"/>
      <c r="M1" s="81"/>
      <c r="N1" s="81"/>
      <c r="O1" s="81"/>
      <c r="P1" s="81"/>
      <c r="Q1" s="81"/>
      <c r="R1" s="82"/>
    </row>
    <row r="2" spans="1:18" x14ac:dyDescent="0.25">
      <c r="A2" s="79" t="s">
        <v>45</v>
      </c>
      <c r="B2" s="79"/>
      <c r="C2" s="79"/>
      <c r="D2" s="79"/>
      <c r="E2" s="79"/>
      <c r="F2" s="79"/>
      <c r="G2" s="80"/>
      <c r="H2" s="83" t="s">
        <v>5</v>
      </c>
      <c r="I2" s="83"/>
      <c r="J2" s="83"/>
      <c r="K2" s="83"/>
      <c r="L2" s="84" t="s">
        <v>9</v>
      </c>
      <c r="M2" s="84"/>
      <c r="N2" s="84"/>
      <c r="O2" s="84"/>
      <c r="P2" s="84"/>
      <c r="Q2" s="84"/>
      <c r="R2" s="84"/>
    </row>
    <row r="3" spans="1:18" ht="45" x14ac:dyDescent="0.25">
      <c r="A3" s="73" t="s">
        <v>53</v>
      </c>
      <c r="B3" s="73" t="s">
        <v>29</v>
      </c>
      <c r="C3" s="73" t="s">
        <v>28</v>
      </c>
      <c r="D3" s="73" t="s">
        <v>35</v>
      </c>
      <c r="E3" s="73" t="s">
        <v>27</v>
      </c>
      <c r="F3" s="73" t="s">
        <v>36</v>
      </c>
      <c r="G3" s="73" t="s">
        <v>37</v>
      </c>
      <c r="H3" s="74" t="s">
        <v>39</v>
      </c>
      <c r="I3" s="74" t="s">
        <v>38</v>
      </c>
      <c r="J3" s="74" t="s">
        <v>44</v>
      </c>
      <c r="K3" s="44" t="s">
        <v>40</v>
      </c>
      <c r="L3" s="75" t="s">
        <v>39</v>
      </c>
      <c r="M3" s="47" t="s">
        <v>41</v>
      </c>
      <c r="N3" s="54" t="s">
        <v>38</v>
      </c>
      <c r="O3" s="54" t="s">
        <v>44</v>
      </c>
      <c r="P3" s="54" t="s">
        <v>95</v>
      </c>
      <c r="Q3" s="54" t="s">
        <v>42</v>
      </c>
      <c r="R3" s="75" t="s">
        <v>43</v>
      </c>
    </row>
    <row r="4" spans="1:18" x14ac:dyDescent="0.25">
      <c r="A4" s="28" t="s">
        <v>63</v>
      </c>
      <c r="B4" s="28" t="s">
        <v>32</v>
      </c>
      <c r="C4" s="29" t="s">
        <v>24</v>
      </c>
      <c r="D4" s="6">
        <v>0</v>
      </c>
      <c r="E4" s="19">
        <v>480</v>
      </c>
      <c r="F4" s="19">
        <v>90</v>
      </c>
      <c r="G4" s="19">
        <v>0</v>
      </c>
      <c r="H4" s="20" t="s">
        <v>16</v>
      </c>
      <c r="I4" s="20" t="s">
        <v>0</v>
      </c>
      <c r="J4" s="20">
        <v>20</v>
      </c>
      <c r="K4" s="56">
        <v>45484.680555555555</v>
      </c>
      <c r="L4" s="21" t="s">
        <v>16</v>
      </c>
      <c r="M4" s="58">
        <v>45484.680555555555</v>
      </c>
      <c r="N4" s="57">
        <f>M4-K4</f>
        <v>0</v>
      </c>
      <c r="O4" s="21">
        <v>20</v>
      </c>
      <c r="P4" s="57" t="b">
        <v>0</v>
      </c>
      <c r="Q4" s="21" t="s">
        <v>68</v>
      </c>
      <c r="R4" s="10" t="s">
        <v>72</v>
      </c>
    </row>
    <row r="5" spans="1:18" x14ac:dyDescent="0.25">
      <c r="A5" s="28" t="s">
        <v>63</v>
      </c>
      <c r="B5" s="28" t="s">
        <v>32</v>
      </c>
      <c r="C5" s="29" t="s">
        <v>24</v>
      </c>
      <c r="D5" s="6">
        <v>0</v>
      </c>
      <c r="E5" s="19">
        <v>480</v>
      </c>
      <c r="F5" s="19">
        <v>90</v>
      </c>
      <c r="G5" s="19">
        <v>0</v>
      </c>
      <c r="H5" s="20" t="s">
        <v>16</v>
      </c>
      <c r="I5" s="20" t="s">
        <v>2</v>
      </c>
      <c r="J5" s="20">
        <v>20</v>
      </c>
      <c r="K5" s="56">
        <v>45485.506944444445</v>
      </c>
      <c r="L5" s="21" t="s">
        <v>16</v>
      </c>
      <c r="M5" s="58">
        <v>45485.506944444445</v>
      </c>
      <c r="N5" s="57">
        <f>M5-K5</f>
        <v>0</v>
      </c>
      <c r="O5" s="21">
        <v>20</v>
      </c>
      <c r="P5" s="57" t="b">
        <v>0</v>
      </c>
      <c r="Q5" s="21" t="s">
        <v>67</v>
      </c>
      <c r="R5" s="10" t="s">
        <v>72</v>
      </c>
    </row>
    <row r="6" spans="1:18" x14ac:dyDescent="0.25">
      <c r="A6" s="28" t="s">
        <v>63</v>
      </c>
      <c r="B6" s="28" t="s">
        <v>32</v>
      </c>
      <c r="C6" s="29" t="s">
        <v>24</v>
      </c>
      <c r="D6" s="6">
        <v>0</v>
      </c>
      <c r="E6" s="19">
        <v>480</v>
      </c>
      <c r="F6" s="19">
        <v>90</v>
      </c>
      <c r="G6" s="19">
        <v>0</v>
      </c>
      <c r="H6" s="20" t="s">
        <v>21</v>
      </c>
      <c r="I6" s="20" t="s">
        <v>0</v>
      </c>
      <c r="J6" s="20">
        <v>20</v>
      </c>
      <c r="K6" s="56">
        <v>45485.638888888891</v>
      </c>
      <c r="L6" s="21" t="s">
        <v>21</v>
      </c>
      <c r="M6" s="58">
        <v>45485.638888888891</v>
      </c>
      <c r="N6" s="57">
        <f>M6-K6</f>
        <v>0</v>
      </c>
      <c r="O6" s="21">
        <v>20</v>
      </c>
      <c r="P6" s="57" t="b">
        <v>0</v>
      </c>
      <c r="Q6" s="21" t="s">
        <v>68</v>
      </c>
      <c r="R6" s="10" t="s">
        <v>78</v>
      </c>
    </row>
    <row r="7" spans="1:18" x14ac:dyDescent="0.25">
      <c r="A7" s="28" t="s">
        <v>63</v>
      </c>
      <c r="B7" s="28" t="s">
        <v>32</v>
      </c>
      <c r="C7" s="29" t="s">
        <v>24</v>
      </c>
      <c r="D7" s="6">
        <v>0</v>
      </c>
      <c r="E7" s="19">
        <v>480</v>
      </c>
      <c r="F7" s="19">
        <v>90</v>
      </c>
      <c r="G7" s="19">
        <v>0</v>
      </c>
      <c r="H7" s="20" t="s">
        <v>21</v>
      </c>
      <c r="I7" s="20" t="s">
        <v>2</v>
      </c>
      <c r="J7" s="20">
        <v>20</v>
      </c>
      <c r="K7" s="56">
        <v>45485.711805555555</v>
      </c>
      <c r="L7" s="21" t="s">
        <v>21</v>
      </c>
      <c r="M7" s="58">
        <v>45485.711805555555</v>
      </c>
      <c r="N7" s="57">
        <f>M7-K7</f>
        <v>0</v>
      </c>
      <c r="O7" s="21">
        <v>20</v>
      </c>
      <c r="P7" s="57" t="b">
        <v>0</v>
      </c>
      <c r="Q7" s="21" t="s">
        <v>67</v>
      </c>
      <c r="R7" s="10" t="s">
        <v>78</v>
      </c>
    </row>
    <row r="8" spans="1:18" x14ac:dyDescent="0.25">
      <c r="A8" s="28" t="s">
        <v>63</v>
      </c>
      <c r="B8" s="28" t="s">
        <v>32</v>
      </c>
      <c r="C8" s="29" t="s">
        <v>24</v>
      </c>
      <c r="D8" s="6">
        <v>10</v>
      </c>
      <c r="E8" s="19">
        <v>15</v>
      </c>
      <c r="F8" s="19">
        <v>5</v>
      </c>
      <c r="G8" s="19">
        <v>0</v>
      </c>
      <c r="H8" s="20" t="s">
        <v>16</v>
      </c>
      <c r="I8" s="20" t="s">
        <v>0</v>
      </c>
      <c r="J8" s="20">
        <v>20</v>
      </c>
      <c r="K8" s="56">
        <v>45492.572916666664</v>
      </c>
      <c r="L8" s="21" t="s">
        <v>16</v>
      </c>
      <c r="M8" s="58">
        <v>45492.572916666664</v>
      </c>
      <c r="N8" s="57">
        <f t="shared" ref="N8:N15" si="0">M8-K8</f>
        <v>0</v>
      </c>
      <c r="O8" s="21">
        <v>20</v>
      </c>
      <c r="P8" s="57" t="b">
        <v>0</v>
      </c>
      <c r="Q8" s="21" t="s">
        <v>68</v>
      </c>
      <c r="R8" s="10" t="s">
        <v>72</v>
      </c>
    </row>
    <row r="9" spans="1:18" x14ac:dyDescent="0.25">
      <c r="A9" s="28" t="s">
        <v>63</v>
      </c>
      <c r="B9" s="28" t="s">
        <v>32</v>
      </c>
      <c r="C9" s="29" t="s">
        <v>24</v>
      </c>
      <c r="D9" s="6">
        <v>10</v>
      </c>
      <c r="E9" s="19">
        <v>15</v>
      </c>
      <c r="F9" s="19">
        <v>5</v>
      </c>
      <c r="G9" s="19">
        <v>0</v>
      </c>
      <c r="H9" s="20" t="s">
        <v>16</v>
      </c>
      <c r="I9" s="20" t="s">
        <v>2</v>
      </c>
      <c r="J9" s="20">
        <v>20</v>
      </c>
      <c r="K9" s="56">
        <v>45492.701388888891</v>
      </c>
      <c r="L9" s="21" t="s">
        <v>16</v>
      </c>
      <c r="M9" s="58">
        <v>45492.701388888891</v>
      </c>
      <c r="N9" s="57">
        <f t="shared" si="0"/>
        <v>0</v>
      </c>
      <c r="O9" s="21">
        <v>20</v>
      </c>
      <c r="P9" s="57" t="b">
        <v>0</v>
      </c>
      <c r="Q9" s="21" t="s">
        <v>67</v>
      </c>
      <c r="R9" s="10" t="s">
        <v>72</v>
      </c>
    </row>
    <row r="10" spans="1:18" x14ac:dyDescent="0.25">
      <c r="A10" s="30" t="s">
        <v>62</v>
      </c>
      <c r="B10" s="30" t="s">
        <v>32</v>
      </c>
      <c r="C10" s="31" t="s">
        <v>31</v>
      </c>
      <c r="D10" s="6">
        <v>0</v>
      </c>
      <c r="E10" s="19">
        <v>480</v>
      </c>
      <c r="F10" s="19">
        <v>90</v>
      </c>
      <c r="G10" s="19">
        <v>0</v>
      </c>
      <c r="H10" s="20" t="s">
        <v>16</v>
      </c>
      <c r="I10" s="20" t="s">
        <v>0</v>
      </c>
      <c r="J10" s="20">
        <v>20</v>
      </c>
      <c r="K10" s="56">
        <v>45484.680555555555</v>
      </c>
      <c r="L10" s="21" t="s">
        <v>16</v>
      </c>
      <c r="M10" s="58">
        <v>45484.680555555555</v>
      </c>
      <c r="N10" s="57">
        <f t="shared" si="0"/>
        <v>0</v>
      </c>
      <c r="O10" s="21">
        <v>20</v>
      </c>
      <c r="P10" s="57" t="b">
        <v>0</v>
      </c>
      <c r="Q10" s="21" t="s">
        <v>68</v>
      </c>
      <c r="R10" s="10" t="s">
        <v>72</v>
      </c>
    </row>
    <row r="11" spans="1:18" x14ac:dyDescent="0.25">
      <c r="A11" s="30" t="s">
        <v>62</v>
      </c>
      <c r="B11" s="30" t="s">
        <v>32</v>
      </c>
      <c r="C11" s="31" t="s">
        <v>31</v>
      </c>
      <c r="D11" s="6">
        <v>0</v>
      </c>
      <c r="E11" s="19">
        <v>480</v>
      </c>
      <c r="F11" s="19">
        <v>90</v>
      </c>
      <c r="G11" s="19">
        <v>0</v>
      </c>
      <c r="H11" s="20" t="s">
        <v>16</v>
      </c>
      <c r="I11" s="20" t="s">
        <v>2</v>
      </c>
      <c r="J11" s="20">
        <v>20</v>
      </c>
      <c r="K11" s="56">
        <v>45485.506944444445</v>
      </c>
      <c r="L11" s="21" t="s">
        <v>16</v>
      </c>
      <c r="M11" s="58">
        <v>45485.506944444445</v>
      </c>
      <c r="N11" s="57">
        <f t="shared" si="0"/>
        <v>0</v>
      </c>
      <c r="O11" s="21">
        <v>20</v>
      </c>
      <c r="P11" s="57" t="b">
        <v>0</v>
      </c>
      <c r="Q11" s="21" t="s">
        <v>67</v>
      </c>
      <c r="R11" s="10" t="s">
        <v>72</v>
      </c>
    </row>
    <row r="12" spans="1:18" ht="30" x14ac:dyDescent="0.25">
      <c r="A12" s="30" t="s">
        <v>62</v>
      </c>
      <c r="B12" s="30" t="s">
        <v>32</v>
      </c>
      <c r="C12" s="31" t="s">
        <v>31</v>
      </c>
      <c r="D12" s="6">
        <v>0</v>
      </c>
      <c r="E12" s="19">
        <v>480</v>
      </c>
      <c r="F12" s="19">
        <v>90</v>
      </c>
      <c r="G12" s="19">
        <v>0</v>
      </c>
      <c r="H12" s="20" t="s">
        <v>21</v>
      </c>
      <c r="I12" s="20" t="s">
        <v>0</v>
      </c>
      <c r="J12" s="20">
        <v>20</v>
      </c>
      <c r="K12" s="56">
        <v>45485.638888888891</v>
      </c>
      <c r="L12" s="21" t="s">
        <v>21</v>
      </c>
      <c r="M12" s="58">
        <v>45485.638888888891</v>
      </c>
      <c r="N12" s="57">
        <f t="shared" si="0"/>
        <v>0</v>
      </c>
      <c r="O12" s="21">
        <v>40</v>
      </c>
      <c r="P12" s="57" t="b">
        <v>0</v>
      </c>
      <c r="Q12" s="21" t="s">
        <v>68</v>
      </c>
      <c r="R12" s="78" t="s">
        <v>147</v>
      </c>
    </row>
    <row r="13" spans="1:18" ht="30" x14ac:dyDescent="0.25">
      <c r="A13" s="30" t="s">
        <v>62</v>
      </c>
      <c r="B13" s="30" t="s">
        <v>32</v>
      </c>
      <c r="C13" s="31" t="s">
        <v>31</v>
      </c>
      <c r="D13" s="6">
        <v>0</v>
      </c>
      <c r="E13" s="19">
        <v>480</v>
      </c>
      <c r="F13" s="19">
        <v>90</v>
      </c>
      <c r="G13" s="19">
        <v>0</v>
      </c>
      <c r="H13" s="20" t="s">
        <v>21</v>
      </c>
      <c r="I13" s="20" t="s">
        <v>2</v>
      </c>
      <c r="J13" s="20">
        <v>20</v>
      </c>
      <c r="K13" s="56">
        <v>45485.711805555555</v>
      </c>
      <c r="L13" s="21" t="s">
        <v>21</v>
      </c>
      <c r="M13" s="58">
        <v>45485.711805555555</v>
      </c>
      <c r="N13" s="57">
        <f t="shared" si="0"/>
        <v>0</v>
      </c>
      <c r="O13" s="21">
        <v>52</v>
      </c>
      <c r="P13" s="57" t="b">
        <v>0</v>
      </c>
      <c r="Q13" s="21" t="s">
        <v>68</v>
      </c>
      <c r="R13" s="10" t="s">
        <v>146</v>
      </c>
    </row>
    <row r="14" spans="1:18" x14ac:dyDescent="0.25">
      <c r="A14" s="30" t="s">
        <v>62</v>
      </c>
      <c r="B14" s="30" t="s">
        <v>32</v>
      </c>
      <c r="C14" s="31" t="s">
        <v>31</v>
      </c>
      <c r="D14" s="6">
        <v>10</v>
      </c>
      <c r="E14" s="19">
        <v>15</v>
      </c>
      <c r="F14" s="19">
        <v>5</v>
      </c>
      <c r="G14" s="19">
        <v>0</v>
      </c>
      <c r="H14" s="20" t="s">
        <v>16</v>
      </c>
      <c r="I14" s="20" t="s">
        <v>0</v>
      </c>
      <c r="J14" s="20">
        <v>20</v>
      </c>
      <c r="K14" s="56">
        <v>45492.572916666664</v>
      </c>
      <c r="L14" s="21" t="s">
        <v>16</v>
      </c>
      <c r="M14" s="58">
        <v>45492.572916666664</v>
      </c>
      <c r="N14" s="57">
        <f t="shared" si="0"/>
        <v>0</v>
      </c>
      <c r="O14" s="21">
        <v>20</v>
      </c>
      <c r="P14" s="57" t="b">
        <v>0</v>
      </c>
      <c r="Q14" s="21" t="s">
        <v>68</v>
      </c>
      <c r="R14" s="10" t="s">
        <v>72</v>
      </c>
    </row>
    <row r="15" spans="1:18" x14ac:dyDescent="0.25">
      <c r="A15" s="30" t="s">
        <v>62</v>
      </c>
      <c r="B15" s="30" t="s">
        <v>32</v>
      </c>
      <c r="C15" s="31" t="s">
        <v>31</v>
      </c>
      <c r="D15" s="6">
        <v>10</v>
      </c>
      <c r="E15" s="19">
        <v>15</v>
      </c>
      <c r="F15" s="19">
        <v>5</v>
      </c>
      <c r="G15" s="19">
        <v>0</v>
      </c>
      <c r="H15" s="20" t="s">
        <v>16</v>
      </c>
      <c r="I15" s="20" t="s">
        <v>2</v>
      </c>
      <c r="J15" s="20">
        <v>20</v>
      </c>
      <c r="K15" s="56">
        <v>45492.701388888891</v>
      </c>
      <c r="L15" s="21" t="s">
        <v>16</v>
      </c>
      <c r="M15" s="58">
        <v>45492.701388888891</v>
      </c>
      <c r="N15" s="57">
        <f t="shared" si="0"/>
        <v>0</v>
      </c>
      <c r="O15" s="21">
        <v>20</v>
      </c>
      <c r="P15" s="57" t="b">
        <v>0</v>
      </c>
      <c r="Q15" s="21" t="s">
        <v>67</v>
      </c>
      <c r="R15" s="10" t="s">
        <v>72</v>
      </c>
    </row>
    <row r="19" spans="1:18" x14ac:dyDescent="0.25">
      <c r="A19" s="30" t="s">
        <v>141</v>
      </c>
      <c r="B19" s="30" t="s">
        <v>32</v>
      </c>
      <c r="C19" s="31" t="s">
        <v>142</v>
      </c>
      <c r="D19" s="77" t="s">
        <v>145</v>
      </c>
      <c r="E19" s="19">
        <v>480</v>
      </c>
      <c r="F19" s="19" t="s">
        <v>143</v>
      </c>
      <c r="G19" s="19">
        <v>0</v>
      </c>
      <c r="H19" s="20" t="s">
        <v>16</v>
      </c>
      <c r="I19" s="20" t="s">
        <v>0</v>
      </c>
      <c r="J19" s="20">
        <v>15</v>
      </c>
      <c r="K19" s="56">
        <v>45512.505555555559</v>
      </c>
      <c r="L19" s="21" t="s">
        <v>16</v>
      </c>
      <c r="M19" s="58">
        <v>45512.505555555559</v>
      </c>
      <c r="N19" s="57">
        <f t="shared" ref="N19:N22" si="1">M19-K19</f>
        <v>0</v>
      </c>
      <c r="O19" s="21">
        <v>15</v>
      </c>
      <c r="P19" s="57" t="b">
        <v>0</v>
      </c>
      <c r="Q19" s="21" t="s">
        <v>68</v>
      </c>
      <c r="R19" s="10" t="s">
        <v>72</v>
      </c>
    </row>
    <row r="20" spans="1:18" x14ac:dyDescent="0.25">
      <c r="A20" s="30" t="s">
        <v>141</v>
      </c>
      <c r="B20" s="30" t="s">
        <v>32</v>
      </c>
      <c r="C20" s="31" t="s">
        <v>142</v>
      </c>
      <c r="D20" s="77" t="s">
        <v>144</v>
      </c>
      <c r="E20" s="19">
        <v>480</v>
      </c>
      <c r="F20" s="19" t="s">
        <v>143</v>
      </c>
      <c r="G20" s="19">
        <v>0</v>
      </c>
      <c r="H20" s="20" t="s">
        <v>16</v>
      </c>
      <c r="I20" s="20" t="s">
        <v>2</v>
      </c>
      <c r="J20" s="20">
        <v>10</v>
      </c>
      <c r="K20" s="56">
        <v>45512.454861111109</v>
      </c>
      <c r="L20" s="21" t="s">
        <v>16</v>
      </c>
      <c r="M20" s="58">
        <v>45512.454861111109</v>
      </c>
      <c r="N20" s="57">
        <f t="shared" si="1"/>
        <v>0</v>
      </c>
      <c r="O20" s="21">
        <v>10</v>
      </c>
      <c r="P20" s="57" t="b">
        <v>0</v>
      </c>
      <c r="Q20" s="21" t="s">
        <v>67</v>
      </c>
      <c r="R20" s="10" t="s">
        <v>72</v>
      </c>
    </row>
    <row r="21" spans="1:18" x14ac:dyDescent="0.25">
      <c r="A21" s="30" t="s">
        <v>141</v>
      </c>
      <c r="B21" s="30" t="s">
        <v>32</v>
      </c>
      <c r="C21" s="31" t="s">
        <v>142</v>
      </c>
      <c r="D21" s="77" t="s">
        <v>145</v>
      </c>
      <c r="E21" s="19">
        <v>480</v>
      </c>
      <c r="F21" s="19" t="s">
        <v>143</v>
      </c>
      <c r="G21" s="19">
        <v>0</v>
      </c>
      <c r="H21" s="20" t="s">
        <v>21</v>
      </c>
      <c r="I21" s="20" t="s">
        <v>0</v>
      </c>
      <c r="J21" s="20">
        <v>10</v>
      </c>
      <c r="K21" s="56">
        <v>45512.668749999997</v>
      </c>
      <c r="L21" s="21" t="s">
        <v>21</v>
      </c>
      <c r="M21" s="58">
        <v>45512.668749999997</v>
      </c>
      <c r="N21" s="57">
        <f t="shared" si="1"/>
        <v>0</v>
      </c>
      <c r="O21" s="21">
        <v>10</v>
      </c>
      <c r="P21" s="57" t="b">
        <v>0</v>
      </c>
      <c r="Q21" s="21" t="s">
        <v>68</v>
      </c>
      <c r="R21" s="10" t="s">
        <v>78</v>
      </c>
    </row>
    <row r="22" spans="1:18" x14ac:dyDescent="0.25">
      <c r="A22" s="30" t="s">
        <v>141</v>
      </c>
      <c r="B22" s="30" t="s">
        <v>32</v>
      </c>
      <c r="C22" s="31" t="s">
        <v>142</v>
      </c>
      <c r="D22" s="77" t="s">
        <v>145</v>
      </c>
      <c r="E22" s="19">
        <v>480</v>
      </c>
      <c r="F22" s="19" t="s">
        <v>143</v>
      </c>
      <c r="G22" s="19">
        <v>0</v>
      </c>
      <c r="H22" s="20" t="s">
        <v>21</v>
      </c>
      <c r="I22" s="20" t="s">
        <v>2</v>
      </c>
      <c r="J22" s="20">
        <v>10</v>
      </c>
      <c r="K22" s="56">
        <v>45512.654166666667</v>
      </c>
      <c r="L22" s="21" t="s">
        <v>21</v>
      </c>
      <c r="M22" s="58">
        <v>45512.654166666667</v>
      </c>
      <c r="N22" s="57">
        <f t="shared" si="1"/>
        <v>0</v>
      </c>
      <c r="O22" s="21">
        <v>10</v>
      </c>
      <c r="P22" s="57" t="b">
        <v>0</v>
      </c>
      <c r="Q22" s="21" t="s">
        <v>67</v>
      </c>
      <c r="R22" s="10" t="s">
        <v>78</v>
      </c>
    </row>
  </sheetData>
  <autoFilter ref="A3:T22" xr:uid="{C9C5B177-AF33-4BA7-BD6D-93AA4D057544}"/>
  <mergeCells count="4">
    <mergeCell ref="A2:G2"/>
    <mergeCell ref="H2:K2"/>
    <mergeCell ref="L2:R2"/>
    <mergeCell ref="A1:R1"/>
  </mergeCells>
  <conditionalFormatting sqref="O4:O15 O19:O22">
    <cfRule type="cellIs" dxfId="11" priority="27" operator="notEqual">
      <formula>J4</formula>
    </cfRule>
    <cfRule type="cellIs" dxfId="10" priority="28" operator="equal">
      <formula>J4</formula>
    </cfRule>
  </conditionalFormatting>
  <conditionalFormatting sqref="Q4:Q15">
    <cfRule type="cellIs" dxfId="9" priority="25" operator="notEqual">
      <formula>"PASS"</formula>
    </cfRule>
    <cfRule type="cellIs" dxfId="8" priority="26" operator="equal">
      <formula>"PASS"</formula>
    </cfRule>
  </conditionalFormatting>
  <conditionalFormatting sqref="P4:P15">
    <cfRule type="cellIs" dxfId="7" priority="13" operator="notEqual">
      <formula>TRUE</formula>
    </cfRule>
    <cfRule type="cellIs" dxfId="6" priority="14" operator="equal">
      <formula>TRUE</formula>
    </cfRule>
  </conditionalFormatting>
  <conditionalFormatting sqref="Q19:Q22">
    <cfRule type="cellIs" dxfId="5" priority="5" operator="notEqual">
      <formula>"PASS"</formula>
    </cfRule>
    <cfRule type="cellIs" dxfId="4" priority="6" operator="equal">
      <formula>"PASS"</formula>
    </cfRule>
  </conditionalFormatting>
  <conditionalFormatting sqref="P19 P21:P22">
    <cfRule type="cellIs" dxfId="3" priority="3" operator="notEqual">
      <formula>TRUE</formula>
    </cfRule>
    <cfRule type="cellIs" dxfId="2" priority="4" operator="equal">
      <formula>TRUE</formula>
    </cfRule>
  </conditionalFormatting>
  <conditionalFormatting sqref="P20">
    <cfRule type="cellIs" dxfId="1" priority="1" operator="notEqual">
      <formula>TRUE</formula>
    </cfRule>
    <cfRule type="cellIs" dxfId="0" priority="2" operator="equal">
      <formula>TRUE</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23D98E38FEF6478129FBE21405D3B1" ma:contentTypeVersion="16" ma:contentTypeDescription="Create a new document." ma:contentTypeScope="" ma:versionID="03a82d2870c2d923be23af47f79fa0ff">
  <xsd:schema xmlns:xsd="http://www.w3.org/2001/XMLSchema" xmlns:xs="http://www.w3.org/2001/XMLSchema" xmlns:p="http://schemas.microsoft.com/office/2006/metadata/properties" xmlns:ns2="cc486dad-39bf-4d55-9b20-c89d466c9391" xmlns:ns3="26313d5c-23c9-455c-97dd-7e1ac6919db0" targetNamespace="http://schemas.microsoft.com/office/2006/metadata/properties" ma:root="true" ma:fieldsID="894fa8e2f3e9b60fe4180bdc71f19153" ns2:_="" ns3:_="">
    <xsd:import namespace="cc486dad-39bf-4d55-9b20-c89d466c9391"/>
    <xsd:import namespace="26313d5c-23c9-455c-97dd-7e1ac6919db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86dad-39bf-4d55-9b20-c89d466c9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Flow_SignoffStatus" ma:index="13" nillable="true" ma:displayName="Sign-off status" ma:internalName="Sign_x002d_off_x0020_status">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af39bdc-e355-4d0b-abbc-a9adafa3d00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13d5c-23c9-455c-97dd-7e1ac6919db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db27fcc-7a62-43ab-a71a-fb8f4f9ffd29}" ma:internalName="TaxCatchAll" ma:showField="CatchAllData" ma:web="26313d5c-23c9-455c-97dd-7e1ac6919d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6313d5c-23c9-455c-97dd-7e1ac6919db0" xsi:nil="true"/>
    <lcf76f155ced4ddcb4097134ff3c332f xmlns="cc486dad-39bf-4d55-9b20-c89d466c9391">
      <Terms xmlns="http://schemas.microsoft.com/office/infopath/2007/PartnerControls"/>
    </lcf76f155ced4ddcb4097134ff3c332f>
    <_Flow_SignoffStatus xmlns="cc486dad-39bf-4d55-9b20-c89d466c9391" xsi:nil="true"/>
  </documentManagement>
</p:properties>
</file>

<file path=customXml/itemProps1.xml><?xml version="1.0" encoding="utf-8"?>
<ds:datastoreItem xmlns:ds="http://schemas.openxmlformats.org/officeDocument/2006/customXml" ds:itemID="{1F54912B-6CAF-4E00-9733-7C64A7155629}">
  <ds:schemaRefs>
    <ds:schemaRef ds:uri="http://schemas.microsoft.com/sharepoint/v3/contenttype/forms"/>
  </ds:schemaRefs>
</ds:datastoreItem>
</file>

<file path=customXml/itemProps2.xml><?xml version="1.0" encoding="utf-8"?>
<ds:datastoreItem xmlns:ds="http://schemas.openxmlformats.org/officeDocument/2006/customXml" ds:itemID="{9B397AD7-0994-44D3-92DB-0E6EEBEA2B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486dad-39bf-4d55-9b20-c89d466c9391"/>
    <ds:schemaRef ds:uri="26313d5c-23c9-455c-97dd-7e1ac6919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D903B7-0C00-4AB4-8895-3AFBD0E4653B}">
  <ds:schemaRefs>
    <ds:schemaRef ds:uri="http://purl.org/dc/terms/"/>
    <ds:schemaRef ds:uri="26313d5c-23c9-455c-97dd-7e1ac6919db0"/>
    <ds:schemaRef ds:uri="http://purl.org/dc/elements/1.1/"/>
    <ds:schemaRef ds:uri="http://schemas.microsoft.com/office/2006/metadata/properties"/>
    <ds:schemaRef ds:uri="http://www.w3.org/XML/1998/namespace"/>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cc486dad-39bf-4d55-9b20-c89d466c93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1</vt:lpstr>
      <vt:lpstr>Test 2</vt:lpstr>
      <vt:lpstr>Sheet3</vt:lpstr>
      <vt:lpstr>Sheet1</vt:lpstr>
      <vt:lpstr>Sheet2</vt:lpstr>
      <vt:lpstr>U1200 T2116 0707</vt:lpstr>
      <vt:lpstr>U1300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Njuguna, Kamau</dc:creator>
  <cp:lastModifiedBy>Njuguna, Kamau</cp:lastModifiedBy>
  <dcterms:created xsi:type="dcterms:W3CDTF">2022-08-16T00:04:44Z</dcterms:created>
  <dcterms:modified xsi:type="dcterms:W3CDTF">2024-08-29T04:48:50Z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0x0101005623D98E38FEF6478129FBE21405D3B1</vt:lpwstr>
  </property>
  <property fmtid="{D5CDD505-2E9C-101B-9397-08002B2CF9AE}" pid="3" name="MediaServiceImageTags">
    <vt:lpwstr/>
  </property>
</Properties>
</file>