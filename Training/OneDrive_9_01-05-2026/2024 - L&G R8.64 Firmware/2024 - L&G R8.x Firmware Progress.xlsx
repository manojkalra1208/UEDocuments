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workportal.sharepoint.com/sites/ENSDHub/Communication Networks Quality/AMI Network Operations/09 Project Support/02 WorkInProgress/2024 - L&amp;G R8.64 Firmware/"/>
    </mc:Choice>
  </mc:AlternateContent>
  <xr:revisionPtr revIDLastSave="1227" documentId="13_ncr:1_{8C1C7C34-373E-4020-8AF6-674A3607E375}" xr6:coauthVersionLast="47" xr6:coauthVersionMax="47" xr10:uidLastSave="{85807266-C799-476D-A220-26C321CF19DD}"/>
  <bookViews>
    <workbookView xWindow="-32565" yWindow="1545" windowWidth="28800" windowHeight="15345" tabRatio="715" firstSheet="1" activeTab="1" xr2:uid="{D66C5F45-2181-4826-BF0E-65503EC0E766}"/>
  </bookViews>
  <sheets>
    <sheet name="Days" sheetId="4" r:id="rId1"/>
    <sheet name="2024 - L&amp;G R64 - Test Instances" sheetId="1" r:id="rId2"/>
    <sheet name="2024 - L&amp;G R64 Pivot" sheetId="5" r:id="rId3"/>
    <sheet name="2024 - L&amp;G R64  Tracking" sheetId="14" r:id="rId4"/>
  </sheets>
  <definedNames>
    <definedName name="_xlnm._FilterDatabase" localSheetId="1" hidden="1">'2024 - L&amp;G R64 - Test Instances'!$A$1:$Q$363</definedName>
    <definedName name="_xlnm._FilterDatabase" localSheetId="3" hidden="1">'2024 - L&amp;G R64  Tracking'!$A$2:$AU$96</definedName>
  </definedNames>
  <calcPr calcId="191028"/>
  <pivotCaches>
    <pivotCache cacheId="46" r:id="rId5"/>
    <pivotCache cacheId="47" r:id="rId6"/>
    <pivotCache cacheId="48" r:id="rId7"/>
    <pivotCache cacheId="4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2" i="1"/>
  <c r="N236" i="1"/>
  <c r="P236" i="1"/>
  <c r="N237" i="1"/>
  <c r="P237" i="1"/>
  <c r="N238" i="1"/>
  <c r="P238" i="1"/>
  <c r="N239" i="1"/>
  <c r="P239" i="1"/>
  <c r="N240" i="1"/>
  <c r="P240" i="1"/>
  <c r="N241" i="1"/>
  <c r="P241" i="1"/>
  <c r="N242" i="1"/>
  <c r="P242" i="1"/>
  <c r="N243" i="1"/>
  <c r="P243" i="1"/>
  <c r="N244" i="1"/>
  <c r="P244" i="1"/>
  <c r="N245" i="1"/>
  <c r="P245" i="1"/>
  <c r="N246" i="1"/>
  <c r="P246" i="1"/>
  <c r="N247" i="1"/>
  <c r="P247" i="1"/>
  <c r="N248" i="1"/>
  <c r="P248" i="1"/>
  <c r="N249" i="1"/>
  <c r="P249" i="1"/>
  <c r="N250" i="1"/>
  <c r="P250" i="1"/>
  <c r="N251" i="1"/>
  <c r="P251" i="1"/>
  <c r="N252" i="1"/>
  <c r="P252" i="1"/>
  <c r="N253" i="1"/>
  <c r="P253" i="1"/>
  <c r="N254" i="1"/>
  <c r="P254" i="1"/>
  <c r="N255" i="1"/>
  <c r="P255" i="1"/>
  <c r="N256" i="1"/>
  <c r="P256" i="1"/>
  <c r="N257" i="1"/>
  <c r="P257" i="1"/>
  <c r="N258" i="1"/>
  <c r="P258" i="1"/>
  <c r="N259" i="1"/>
  <c r="P259" i="1"/>
  <c r="N260" i="1"/>
  <c r="P260" i="1"/>
  <c r="N261" i="1"/>
  <c r="P261" i="1"/>
  <c r="N262" i="1"/>
  <c r="P262" i="1"/>
  <c r="N263" i="1"/>
  <c r="P263" i="1"/>
  <c r="N264" i="1"/>
  <c r="P264" i="1"/>
  <c r="N265" i="1"/>
  <c r="P265" i="1"/>
  <c r="N266" i="1"/>
  <c r="P266" i="1"/>
  <c r="N267" i="1"/>
  <c r="P267" i="1"/>
  <c r="N268" i="1"/>
  <c r="P268" i="1"/>
  <c r="N269" i="1"/>
  <c r="P269" i="1"/>
  <c r="N270" i="1"/>
  <c r="P270" i="1"/>
  <c r="N271" i="1"/>
  <c r="P271" i="1"/>
  <c r="N272" i="1"/>
  <c r="P272" i="1"/>
  <c r="N273" i="1"/>
  <c r="P273" i="1"/>
  <c r="N274" i="1"/>
  <c r="P274" i="1"/>
  <c r="N275" i="1"/>
  <c r="P275" i="1"/>
  <c r="N276" i="1"/>
  <c r="P276" i="1"/>
  <c r="N277" i="1"/>
  <c r="P277" i="1"/>
  <c r="N278" i="1"/>
  <c r="P278" i="1"/>
  <c r="N279" i="1"/>
  <c r="P279" i="1"/>
  <c r="N280" i="1"/>
  <c r="P280" i="1"/>
  <c r="N281" i="1"/>
  <c r="P281" i="1"/>
  <c r="N282" i="1"/>
  <c r="P282" i="1"/>
  <c r="N283" i="1"/>
  <c r="P283" i="1"/>
  <c r="N284" i="1"/>
  <c r="P284" i="1"/>
  <c r="N285" i="1"/>
  <c r="P285" i="1"/>
  <c r="N286" i="1"/>
  <c r="P286" i="1"/>
  <c r="N287" i="1"/>
  <c r="P287" i="1"/>
  <c r="N288" i="1"/>
  <c r="P288" i="1"/>
  <c r="N289" i="1"/>
  <c r="P289" i="1"/>
  <c r="N290" i="1"/>
  <c r="P290" i="1"/>
  <c r="N291" i="1"/>
  <c r="P291" i="1"/>
  <c r="N292" i="1"/>
  <c r="P292" i="1"/>
  <c r="N293" i="1"/>
  <c r="P293" i="1"/>
  <c r="N294" i="1"/>
  <c r="P294" i="1"/>
  <c r="N295" i="1"/>
  <c r="P295" i="1"/>
  <c r="N296" i="1"/>
  <c r="P296" i="1"/>
  <c r="N297" i="1"/>
  <c r="P297" i="1"/>
  <c r="N298" i="1"/>
  <c r="P298" i="1"/>
  <c r="N299" i="1"/>
  <c r="P299" i="1"/>
  <c r="N300" i="1"/>
  <c r="P300" i="1"/>
  <c r="N301" i="1"/>
  <c r="P301" i="1"/>
  <c r="N302" i="1"/>
  <c r="P302" i="1"/>
  <c r="N303" i="1"/>
  <c r="P303" i="1"/>
  <c r="N304" i="1"/>
  <c r="P304" i="1"/>
  <c r="N305" i="1"/>
  <c r="P305" i="1"/>
  <c r="N306" i="1"/>
  <c r="P306" i="1"/>
  <c r="N307" i="1"/>
  <c r="P307" i="1"/>
  <c r="N308" i="1"/>
  <c r="P308" i="1"/>
  <c r="N309" i="1"/>
  <c r="P309" i="1"/>
  <c r="N310" i="1"/>
  <c r="P310" i="1"/>
  <c r="N311" i="1"/>
  <c r="P311" i="1"/>
  <c r="N312" i="1"/>
  <c r="P312" i="1"/>
  <c r="N313" i="1"/>
  <c r="P313" i="1"/>
  <c r="N314" i="1"/>
  <c r="P314" i="1"/>
  <c r="N315" i="1"/>
  <c r="P315" i="1"/>
  <c r="N316" i="1"/>
  <c r="P316" i="1"/>
  <c r="N317" i="1"/>
  <c r="P317" i="1"/>
  <c r="N318" i="1"/>
  <c r="P318" i="1"/>
  <c r="N319" i="1"/>
  <c r="P319" i="1"/>
  <c r="N320" i="1"/>
  <c r="P320" i="1"/>
  <c r="N321" i="1"/>
  <c r="P321" i="1"/>
  <c r="N322" i="1"/>
  <c r="P322" i="1"/>
  <c r="N323" i="1"/>
  <c r="P323" i="1"/>
  <c r="N324" i="1"/>
  <c r="P324" i="1"/>
  <c r="N325" i="1"/>
  <c r="P325" i="1"/>
  <c r="N326" i="1"/>
  <c r="P326" i="1"/>
  <c r="N327" i="1"/>
  <c r="P327" i="1"/>
  <c r="N328" i="1"/>
  <c r="P328" i="1"/>
  <c r="N329" i="1"/>
  <c r="P329" i="1"/>
  <c r="N330" i="1"/>
  <c r="P330" i="1"/>
  <c r="N331" i="1"/>
  <c r="P331" i="1"/>
  <c r="N332" i="1"/>
  <c r="P332" i="1"/>
  <c r="N333" i="1"/>
  <c r="P333" i="1"/>
  <c r="N334" i="1"/>
  <c r="P334" i="1"/>
  <c r="N335" i="1"/>
  <c r="P335" i="1"/>
  <c r="N336" i="1"/>
  <c r="P336" i="1"/>
  <c r="N337" i="1"/>
  <c r="P337" i="1"/>
  <c r="N338" i="1"/>
  <c r="P338" i="1"/>
  <c r="N339" i="1"/>
  <c r="P339" i="1"/>
  <c r="N340" i="1"/>
  <c r="P340" i="1"/>
  <c r="N341" i="1"/>
  <c r="P341" i="1"/>
  <c r="N342" i="1"/>
  <c r="P342" i="1"/>
  <c r="N343" i="1"/>
  <c r="P343" i="1"/>
  <c r="N344" i="1"/>
  <c r="P344" i="1"/>
  <c r="N345" i="1"/>
  <c r="P345" i="1"/>
  <c r="N346" i="1"/>
  <c r="P346" i="1"/>
  <c r="N347" i="1"/>
  <c r="P347" i="1"/>
  <c r="N348" i="1"/>
  <c r="P348" i="1"/>
  <c r="N349" i="1"/>
  <c r="P349" i="1"/>
  <c r="N350" i="1"/>
  <c r="P350" i="1"/>
  <c r="N351" i="1"/>
  <c r="P351" i="1"/>
  <c r="N352" i="1"/>
  <c r="P352" i="1"/>
  <c r="N353" i="1"/>
  <c r="P353" i="1"/>
  <c r="N354" i="1"/>
  <c r="P354" i="1"/>
  <c r="N355" i="1"/>
  <c r="P355" i="1"/>
  <c r="N356" i="1"/>
  <c r="P356" i="1"/>
  <c r="N357" i="1"/>
  <c r="P357" i="1"/>
  <c r="N358" i="1"/>
  <c r="P358" i="1"/>
  <c r="N359" i="1"/>
  <c r="P359" i="1"/>
  <c r="N360" i="1"/>
  <c r="P360" i="1"/>
  <c r="N361" i="1"/>
  <c r="P361" i="1"/>
  <c r="N362" i="1"/>
  <c r="P362" i="1"/>
  <c r="N363" i="1"/>
  <c r="P363" i="1"/>
  <c r="B5" i="14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4" i="14"/>
  <c r="AU1" i="14"/>
  <c r="F5" i="4"/>
  <c r="F3" i="4"/>
  <c r="AK3" i="14" s="1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F7" i="4" l="1"/>
  <c r="T18" i="14" l="1"/>
  <c r="V18" i="14"/>
  <c r="AJ3" i="14" l="1"/>
  <c r="X5" i="14"/>
  <c r="X6" i="14"/>
  <c r="X8" i="14"/>
  <c r="X9" i="14"/>
  <c r="X10" i="14"/>
  <c r="X12" i="14"/>
  <c r="X14" i="14"/>
  <c r="X16" i="14"/>
  <c r="X23" i="14"/>
  <c r="X24" i="14"/>
  <c r="X25" i="14"/>
  <c r="X26" i="14"/>
  <c r="X27" i="14"/>
  <c r="X28" i="14"/>
  <c r="X29" i="14"/>
  <c r="X30" i="14"/>
  <c r="X32" i="14"/>
  <c r="X33" i="14"/>
  <c r="X34" i="14"/>
  <c r="X36" i="14"/>
  <c r="X38" i="14"/>
  <c r="X39" i="14"/>
  <c r="X41" i="14"/>
  <c r="X42" i="14"/>
  <c r="X43" i="14"/>
  <c r="X45" i="14"/>
  <c r="X46" i="14"/>
  <c r="X47" i="14"/>
  <c r="X53" i="14"/>
  <c r="X54" i="14"/>
  <c r="X55" i="14"/>
  <c r="X56" i="14"/>
  <c r="X57" i="14"/>
  <c r="X59" i="14"/>
  <c r="X60" i="14"/>
  <c r="X61" i="14"/>
  <c r="X62" i="14"/>
  <c r="X63" i="14"/>
  <c r="X64" i="14"/>
  <c r="X65" i="14"/>
  <c r="X66" i="14"/>
  <c r="X67" i="14"/>
  <c r="X68" i="14"/>
  <c r="X69" i="14"/>
  <c r="X70" i="14"/>
  <c r="X71" i="14"/>
  <c r="X72" i="14"/>
  <c r="X73" i="14"/>
  <c r="X74" i="14"/>
  <c r="X75" i="14"/>
  <c r="X76" i="14"/>
  <c r="X77" i="14"/>
  <c r="X78" i="14"/>
  <c r="X79" i="14"/>
  <c r="X80" i="14"/>
  <c r="X81" i="14"/>
  <c r="X82" i="14"/>
  <c r="X83" i="14"/>
  <c r="X84" i="14"/>
  <c r="X85" i="14"/>
  <c r="X86" i="14"/>
  <c r="X87" i="14"/>
  <c r="X88" i="14"/>
  <c r="X89" i="14"/>
  <c r="X90" i="14"/>
  <c r="X91" i="14"/>
  <c r="X92" i="14"/>
  <c r="X93" i="14"/>
  <c r="X94" i="14"/>
  <c r="X95" i="14"/>
  <c r="X96" i="14"/>
  <c r="X3" i="14"/>
  <c r="W4" i="14"/>
  <c r="AW4" i="14" s="1"/>
  <c r="W5" i="14"/>
  <c r="AW5" i="14" s="1"/>
  <c r="W11" i="14"/>
  <c r="AW11" i="14" s="1"/>
  <c r="W12" i="14"/>
  <c r="AW12" i="14" s="1"/>
  <c r="W18" i="14"/>
  <c r="AW18" i="14" s="1"/>
  <c r="W19" i="14"/>
  <c r="AW19" i="14" s="1"/>
  <c r="W24" i="14"/>
  <c r="AW24" i="14" s="1"/>
  <c r="W25" i="14"/>
  <c r="AW25" i="14" s="1"/>
  <c r="W26" i="14"/>
  <c r="AW26" i="14" s="1"/>
  <c r="W27" i="14"/>
  <c r="AW27" i="14" s="1"/>
  <c r="W31" i="14"/>
  <c r="AW31" i="14" s="1"/>
  <c r="W32" i="14"/>
  <c r="AW32" i="14" s="1"/>
  <c r="W33" i="14"/>
  <c r="AW33" i="14" s="1"/>
  <c r="W34" i="14"/>
  <c r="AW34" i="14" s="1"/>
  <c r="W38" i="14"/>
  <c r="AW38" i="14" s="1"/>
  <c r="W39" i="14"/>
  <c r="AW39" i="14" s="1"/>
  <c r="W40" i="14"/>
  <c r="AW40" i="14" s="1"/>
  <c r="W41" i="14"/>
  <c r="AW41" i="14" s="1"/>
  <c r="W46" i="14"/>
  <c r="AW46" i="14" s="1"/>
  <c r="W47" i="14"/>
  <c r="AW47" i="14" s="1"/>
  <c r="W50" i="14"/>
  <c r="AW50" i="14" s="1"/>
  <c r="W53" i="14"/>
  <c r="AW53" i="14" s="1"/>
  <c r="W54" i="14"/>
  <c r="AW54" i="14" s="1"/>
  <c r="W59" i="14"/>
  <c r="AW59" i="14" s="1"/>
  <c r="W60" i="14"/>
  <c r="AW60" i="14" s="1"/>
  <c r="W61" i="14"/>
  <c r="AW61" i="14" s="1"/>
  <c r="W62" i="14"/>
  <c r="AW62" i="14" s="1"/>
  <c r="W63" i="14"/>
  <c r="AW63" i="14" s="1"/>
  <c r="W64" i="14"/>
  <c r="AW64" i="14" s="1"/>
  <c r="W65" i="14"/>
  <c r="AW65" i="14" s="1"/>
  <c r="W66" i="14"/>
  <c r="AW66" i="14" s="1"/>
  <c r="W67" i="14"/>
  <c r="W68" i="14"/>
  <c r="AW68" i="14" s="1"/>
  <c r="W69" i="14"/>
  <c r="AW69" i="14" s="1"/>
  <c r="W70" i="14"/>
  <c r="W71" i="14"/>
  <c r="AW71" i="14" s="1"/>
  <c r="W72" i="14"/>
  <c r="AW72" i="14" s="1"/>
  <c r="W73" i="14"/>
  <c r="AW73" i="14" s="1"/>
  <c r="W74" i="14"/>
  <c r="W75" i="14"/>
  <c r="W76" i="14"/>
  <c r="W77" i="14"/>
  <c r="W78" i="14"/>
  <c r="W79" i="14"/>
  <c r="AW79" i="14" s="1"/>
  <c r="W80" i="14"/>
  <c r="AW80" i="14" s="1"/>
  <c r="W81" i="14"/>
  <c r="W82" i="14"/>
  <c r="W83" i="14"/>
  <c r="W84" i="14"/>
  <c r="W85" i="14"/>
  <c r="W86" i="14"/>
  <c r="AW86" i="14" s="1"/>
  <c r="W87" i="14"/>
  <c r="AW87" i="14" s="1"/>
  <c r="W88" i="14"/>
  <c r="AW88" i="14" s="1"/>
  <c r="W89" i="14"/>
  <c r="AW89" i="14" s="1"/>
  <c r="W90" i="14"/>
  <c r="W91" i="14"/>
  <c r="W92" i="14"/>
  <c r="W93" i="14"/>
  <c r="AW93" i="14" s="1"/>
  <c r="W94" i="14"/>
  <c r="AW94" i="14" s="1"/>
  <c r="W95" i="14"/>
  <c r="W96" i="14"/>
  <c r="X11" i="14"/>
  <c r="V15" i="14"/>
  <c r="X52" i="14"/>
  <c r="X21" i="14"/>
  <c r="X50" i="14"/>
  <c r="X40" i="14"/>
  <c r="V4" i="14"/>
  <c r="V5" i="14"/>
  <c r="V6" i="14"/>
  <c r="V11" i="14"/>
  <c r="V12" i="14"/>
  <c r="V19" i="14"/>
  <c r="V24" i="14"/>
  <c r="V25" i="14"/>
  <c r="V26" i="14"/>
  <c r="V27" i="14"/>
  <c r="V32" i="14"/>
  <c r="V33" i="14"/>
  <c r="V34" i="14"/>
  <c r="V39" i="14"/>
  <c r="V40" i="14"/>
  <c r="V42" i="14"/>
  <c r="V43" i="14"/>
  <c r="V44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3" i="14"/>
  <c r="N3" i="1"/>
  <c r="N2" i="1"/>
  <c r="V7" i="14"/>
  <c r="A4" i="14"/>
  <c r="A5" i="14"/>
  <c r="A6" i="14"/>
  <c r="C6" i="14" s="1"/>
  <c r="A7" i="14"/>
  <c r="C7" i="14" s="1"/>
  <c r="A8" i="14"/>
  <c r="C8" i="14" s="1"/>
  <c r="A9" i="14"/>
  <c r="C9" i="14" s="1"/>
  <c r="A10" i="14"/>
  <c r="A11" i="14"/>
  <c r="A12" i="14"/>
  <c r="A13" i="14"/>
  <c r="C13" i="14" s="1"/>
  <c r="A14" i="14"/>
  <c r="C14" i="14" s="1"/>
  <c r="A15" i="14"/>
  <c r="C15" i="14" s="1"/>
  <c r="A16" i="14"/>
  <c r="C16" i="14" s="1"/>
  <c r="A17" i="14"/>
  <c r="C17" i="14" s="1"/>
  <c r="A18" i="14"/>
  <c r="A19" i="14"/>
  <c r="A20" i="14"/>
  <c r="C20" i="14" s="1"/>
  <c r="A21" i="14"/>
  <c r="C21" i="14" s="1"/>
  <c r="A22" i="14"/>
  <c r="C22" i="14" s="1"/>
  <c r="A23" i="14"/>
  <c r="C23" i="14" s="1"/>
  <c r="A24" i="14"/>
  <c r="C24" i="14" s="1"/>
  <c r="A25" i="14"/>
  <c r="A26" i="14"/>
  <c r="A27" i="14"/>
  <c r="C27" i="14" s="1"/>
  <c r="A28" i="14"/>
  <c r="C28" i="14" s="1"/>
  <c r="A29" i="14"/>
  <c r="C29" i="14" s="1"/>
  <c r="A30" i="14"/>
  <c r="C30" i="14" s="1"/>
  <c r="A31" i="14"/>
  <c r="C31" i="14" s="1"/>
  <c r="A32" i="14"/>
  <c r="A33" i="14"/>
  <c r="A34" i="14"/>
  <c r="C34" i="14" s="1"/>
  <c r="A35" i="14"/>
  <c r="C35" i="14" s="1"/>
  <c r="A36" i="14"/>
  <c r="C36" i="14" s="1"/>
  <c r="A37" i="14"/>
  <c r="C37" i="14" s="1"/>
  <c r="A38" i="14"/>
  <c r="C38" i="14" s="1"/>
  <c r="A39" i="14"/>
  <c r="A40" i="14"/>
  <c r="A41" i="14"/>
  <c r="C41" i="14" s="1"/>
  <c r="A42" i="14"/>
  <c r="C42" i="14" s="1"/>
  <c r="A43" i="14"/>
  <c r="C43" i="14" s="1"/>
  <c r="A44" i="14"/>
  <c r="C44" i="14" s="1"/>
  <c r="A45" i="14"/>
  <c r="C45" i="14" s="1"/>
  <c r="A46" i="14"/>
  <c r="A47" i="14"/>
  <c r="A48" i="14"/>
  <c r="C48" i="14" s="1"/>
  <c r="A49" i="14"/>
  <c r="A50" i="14"/>
  <c r="C50" i="14" s="1"/>
  <c r="A51" i="14"/>
  <c r="C51" i="14" s="1"/>
  <c r="A52" i="14"/>
  <c r="C52" i="14" s="1"/>
  <c r="A53" i="14"/>
  <c r="A54" i="14"/>
  <c r="A55" i="14"/>
  <c r="C55" i="14" s="1"/>
  <c r="A56" i="14"/>
  <c r="C56" i="14" s="1"/>
  <c r="A57" i="14"/>
  <c r="C57" i="14" s="1"/>
  <c r="A58" i="14"/>
  <c r="C58" i="14" s="1"/>
  <c r="A59" i="14"/>
  <c r="C59" i="14" s="1"/>
  <c r="A60" i="14"/>
  <c r="A61" i="14"/>
  <c r="A62" i="14"/>
  <c r="C62" i="14" s="1"/>
  <c r="A63" i="14"/>
  <c r="C63" i="14" s="1"/>
  <c r="A64" i="14"/>
  <c r="C64" i="14" s="1"/>
  <c r="A65" i="14"/>
  <c r="C65" i="14" s="1"/>
  <c r="A66" i="14"/>
  <c r="C66" i="14" s="1"/>
  <c r="A67" i="14"/>
  <c r="A68" i="14"/>
  <c r="A69" i="14"/>
  <c r="C69" i="14" s="1"/>
  <c r="A70" i="14"/>
  <c r="C70" i="14" s="1"/>
  <c r="A71" i="14"/>
  <c r="C71" i="14" s="1"/>
  <c r="A72" i="14"/>
  <c r="C72" i="14" s="1"/>
  <c r="A73" i="14"/>
  <c r="C73" i="14" s="1"/>
  <c r="A74" i="14"/>
  <c r="A75" i="14"/>
  <c r="A76" i="14"/>
  <c r="C76" i="14" s="1"/>
  <c r="A77" i="14"/>
  <c r="C77" i="14" s="1"/>
  <c r="A78" i="14"/>
  <c r="C78" i="14" s="1"/>
  <c r="A79" i="14"/>
  <c r="C79" i="14" s="1"/>
  <c r="A80" i="14"/>
  <c r="C80" i="14" s="1"/>
  <c r="A81" i="14"/>
  <c r="A82" i="14"/>
  <c r="A83" i="14"/>
  <c r="C83" i="14" s="1"/>
  <c r="A84" i="14"/>
  <c r="C84" i="14" s="1"/>
  <c r="A85" i="14"/>
  <c r="C85" i="14" s="1"/>
  <c r="A86" i="14"/>
  <c r="C86" i="14" s="1"/>
  <c r="A87" i="14"/>
  <c r="C87" i="14" s="1"/>
  <c r="A88" i="14"/>
  <c r="A89" i="14"/>
  <c r="A90" i="14"/>
  <c r="C90" i="14" s="1"/>
  <c r="A91" i="14"/>
  <c r="C91" i="14" s="1"/>
  <c r="A92" i="14"/>
  <c r="C92" i="14" s="1"/>
  <c r="A93" i="14"/>
  <c r="C93" i="14" s="1"/>
  <c r="A94" i="14"/>
  <c r="C94" i="14" s="1"/>
  <c r="A95" i="14"/>
  <c r="A96" i="14"/>
  <c r="A3" i="14"/>
  <c r="C3" i="14" s="1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AY4" i="14"/>
  <c r="AY5" i="14"/>
  <c r="AY6" i="14"/>
  <c r="AY7" i="14"/>
  <c r="AY8" i="14"/>
  <c r="AY9" i="14"/>
  <c r="AY10" i="14"/>
  <c r="AY11" i="14"/>
  <c r="AY12" i="14"/>
  <c r="AY13" i="14"/>
  <c r="AY14" i="14"/>
  <c r="AY15" i="14"/>
  <c r="AY16" i="14"/>
  <c r="AY17" i="14"/>
  <c r="AY18" i="14"/>
  <c r="AY19" i="14"/>
  <c r="AY20" i="14"/>
  <c r="AY21" i="14"/>
  <c r="AY22" i="14"/>
  <c r="AY23" i="14"/>
  <c r="AY24" i="14"/>
  <c r="AY25" i="14"/>
  <c r="AY26" i="14"/>
  <c r="AY27" i="14"/>
  <c r="AY28" i="14"/>
  <c r="AY29" i="14"/>
  <c r="AY30" i="14"/>
  <c r="AY31" i="14"/>
  <c r="AY32" i="14"/>
  <c r="AY33" i="14"/>
  <c r="AY34" i="14"/>
  <c r="AY35" i="14"/>
  <c r="AY36" i="14"/>
  <c r="AY37" i="14"/>
  <c r="AY38" i="14"/>
  <c r="AY39" i="14"/>
  <c r="AY40" i="14"/>
  <c r="AY41" i="14"/>
  <c r="AY42" i="14"/>
  <c r="AY43" i="14"/>
  <c r="AY44" i="14"/>
  <c r="AY45" i="14"/>
  <c r="AY46" i="14"/>
  <c r="AY47" i="14"/>
  <c r="AY48" i="14"/>
  <c r="AY49" i="14"/>
  <c r="AY50" i="14"/>
  <c r="AY51" i="14"/>
  <c r="AY52" i="14"/>
  <c r="AY53" i="14"/>
  <c r="AY54" i="14"/>
  <c r="AY55" i="14"/>
  <c r="AY56" i="14"/>
  <c r="AY57" i="14"/>
  <c r="AY58" i="14"/>
  <c r="AY59" i="14"/>
  <c r="AY60" i="14"/>
  <c r="AY61" i="14"/>
  <c r="AY62" i="14"/>
  <c r="AY63" i="14"/>
  <c r="AY64" i="14"/>
  <c r="AY65" i="14"/>
  <c r="AY66" i="14"/>
  <c r="AY67" i="14"/>
  <c r="AY68" i="14"/>
  <c r="AY69" i="14"/>
  <c r="AY70" i="14"/>
  <c r="AY71" i="14"/>
  <c r="AY72" i="14"/>
  <c r="AY73" i="14"/>
  <c r="AY74" i="14"/>
  <c r="AY75" i="14"/>
  <c r="AY76" i="14"/>
  <c r="AY77" i="14"/>
  <c r="AY78" i="14"/>
  <c r="AY79" i="14"/>
  <c r="AY80" i="14"/>
  <c r="AY81" i="14"/>
  <c r="AY82" i="14"/>
  <c r="AY83" i="14"/>
  <c r="AY84" i="14"/>
  <c r="AY85" i="14"/>
  <c r="AY86" i="14"/>
  <c r="AY87" i="14"/>
  <c r="AY88" i="14"/>
  <c r="AY89" i="14"/>
  <c r="AY90" i="14"/>
  <c r="AY91" i="14"/>
  <c r="AY92" i="14"/>
  <c r="AY93" i="14"/>
  <c r="AY94" i="14"/>
  <c r="AY95" i="14"/>
  <c r="AY96" i="14"/>
  <c r="AY3" i="14"/>
  <c r="W58" i="14" l="1"/>
  <c r="AW58" i="14" s="1"/>
  <c r="X58" i="14"/>
  <c r="W57" i="14"/>
  <c r="AW57" i="14" s="1"/>
  <c r="W56" i="14"/>
  <c r="AW56" i="14" s="1"/>
  <c r="W55" i="14"/>
  <c r="AW55" i="14" s="1"/>
  <c r="X51" i="14"/>
  <c r="W52" i="14"/>
  <c r="AW52" i="14" s="1"/>
  <c r="W51" i="14"/>
  <c r="AW51" i="14" s="1"/>
  <c r="W49" i="14"/>
  <c r="AW49" i="14" s="1"/>
  <c r="X48" i="14"/>
  <c r="X49" i="14"/>
  <c r="W48" i="14"/>
  <c r="AW48" i="14" s="1"/>
  <c r="W44" i="14"/>
  <c r="AW44" i="14" s="1"/>
  <c r="V45" i="14"/>
  <c r="W43" i="14"/>
  <c r="AW43" i="14" s="1"/>
  <c r="W45" i="14"/>
  <c r="AW45" i="14" s="1"/>
  <c r="X44" i="14"/>
  <c r="V41" i="14"/>
  <c r="W42" i="14"/>
  <c r="AW42" i="14" s="1"/>
  <c r="V38" i="14"/>
  <c r="V37" i="14"/>
  <c r="V35" i="14"/>
  <c r="X31" i="14"/>
  <c r="W35" i="14"/>
  <c r="AW35" i="14" s="1"/>
  <c r="V31" i="14"/>
  <c r="W37" i="14"/>
  <c r="AW37" i="14" s="1"/>
  <c r="X37" i="14"/>
  <c r="V36" i="14"/>
  <c r="V16" i="14"/>
  <c r="X35" i="14"/>
  <c r="W36" i="14"/>
  <c r="AW36" i="14" s="1"/>
  <c r="W7" i="14"/>
  <c r="AW7" i="14" s="1"/>
  <c r="X22" i="14"/>
  <c r="W15" i="14"/>
  <c r="AW15" i="14" s="1"/>
  <c r="V30" i="14"/>
  <c r="W30" i="14"/>
  <c r="AW30" i="14" s="1"/>
  <c r="V28" i="14"/>
  <c r="AF18" i="14"/>
  <c r="C18" i="14" s="1"/>
  <c r="V23" i="14"/>
  <c r="V22" i="14"/>
  <c r="V21" i="14"/>
  <c r="V20" i="14"/>
  <c r="V29" i="14"/>
  <c r="W29" i="14"/>
  <c r="AW29" i="14" s="1"/>
  <c r="AF91" i="14"/>
  <c r="AF83" i="14"/>
  <c r="AF75" i="14"/>
  <c r="C75" i="14" s="1"/>
  <c r="AF67" i="14"/>
  <c r="C67" i="14" s="1"/>
  <c r="AF59" i="14"/>
  <c r="AF27" i="14"/>
  <c r="AF19" i="14"/>
  <c r="C19" i="14" s="1"/>
  <c r="W23" i="14"/>
  <c r="AW23" i="14" s="1"/>
  <c r="W28" i="14"/>
  <c r="AW28" i="14" s="1"/>
  <c r="AF96" i="14"/>
  <c r="C96" i="14" s="1"/>
  <c r="AF88" i="14"/>
  <c r="C88" i="14" s="1"/>
  <c r="AF80" i="14"/>
  <c r="AF72" i="14"/>
  <c r="AF64" i="14"/>
  <c r="AF40" i="14"/>
  <c r="C40" i="14" s="1"/>
  <c r="AF32" i="14"/>
  <c r="C32" i="14" s="1"/>
  <c r="AF24" i="14"/>
  <c r="AF89" i="14"/>
  <c r="C89" i="14" s="1"/>
  <c r="AF81" i="14"/>
  <c r="C81" i="14" s="1"/>
  <c r="AF73" i="14"/>
  <c r="AF65" i="14"/>
  <c r="AF33" i="14"/>
  <c r="C33" i="14" s="1"/>
  <c r="AF25" i="14"/>
  <c r="C25" i="14" s="1"/>
  <c r="AF12" i="14"/>
  <c r="C12" i="14" s="1"/>
  <c r="W22" i="14"/>
  <c r="AW22" i="14" s="1"/>
  <c r="X20" i="14"/>
  <c r="AF94" i="14"/>
  <c r="AF86" i="14"/>
  <c r="AF78" i="14"/>
  <c r="AF70" i="14"/>
  <c r="AF62" i="14"/>
  <c r="AF54" i="14"/>
  <c r="C54" i="14" s="1"/>
  <c r="AF46" i="14"/>
  <c r="C46" i="14" s="1"/>
  <c r="AF93" i="14"/>
  <c r="AF85" i="14"/>
  <c r="AF77" i="14"/>
  <c r="AF69" i="14"/>
  <c r="AF61" i="14"/>
  <c r="C61" i="14" s="1"/>
  <c r="AF53" i="14"/>
  <c r="C53" i="14" s="1"/>
  <c r="W21" i="14"/>
  <c r="AW21" i="14" s="1"/>
  <c r="AF92" i="14"/>
  <c r="AF84" i="14"/>
  <c r="AF76" i="14"/>
  <c r="AF68" i="14"/>
  <c r="C68" i="14" s="1"/>
  <c r="AF95" i="14"/>
  <c r="C95" i="14" s="1"/>
  <c r="AF87" i="14"/>
  <c r="AF79" i="14"/>
  <c r="AF71" i="14"/>
  <c r="AF63" i="14"/>
  <c r="AF47" i="14"/>
  <c r="C47" i="14" s="1"/>
  <c r="AF39" i="14"/>
  <c r="C39" i="14" s="1"/>
  <c r="AF11" i="14"/>
  <c r="C11" i="14" s="1"/>
  <c r="W20" i="14"/>
  <c r="AW20" i="14" s="1"/>
  <c r="AF5" i="14"/>
  <c r="C5" i="14" s="1"/>
  <c r="AF60" i="14"/>
  <c r="C60" i="14" s="1"/>
  <c r="AF4" i="14"/>
  <c r="C4" i="14" s="1"/>
  <c r="AF90" i="14"/>
  <c r="AF82" i="14"/>
  <c r="C82" i="14" s="1"/>
  <c r="AF74" i="14"/>
  <c r="C74" i="14" s="1"/>
  <c r="AF66" i="14"/>
  <c r="AF50" i="14"/>
  <c r="AF34" i="14"/>
  <c r="AF26" i="14"/>
  <c r="C26" i="14" s="1"/>
  <c r="X19" i="14"/>
  <c r="X18" i="14"/>
  <c r="V17" i="14"/>
  <c r="X17" i="14"/>
  <c r="W17" i="14"/>
  <c r="AW17" i="14" s="1"/>
  <c r="W16" i="14"/>
  <c r="AW16" i="14" s="1"/>
  <c r="X15" i="14"/>
  <c r="V13" i="14"/>
  <c r="V10" i="14"/>
  <c r="V14" i="14"/>
  <c r="V8" i="14"/>
  <c r="W14" i="14"/>
  <c r="AW14" i="14" s="1"/>
  <c r="W13" i="14"/>
  <c r="AW13" i="14" s="1"/>
  <c r="X13" i="14"/>
  <c r="W10" i="14"/>
  <c r="AW10" i="14" s="1"/>
  <c r="V9" i="14"/>
  <c r="W8" i="14"/>
  <c r="AW8" i="14" s="1"/>
  <c r="W9" i="14"/>
  <c r="AW9" i="14" s="1"/>
  <c r="AR3" i="14"/>
  <c r="AS3" i="14" s="1"/>
  <c r="X4" i="14"/>
  <c r="W6" i="14"/>
  <c r="AW6" i="14" s="1"/>
  <c r="W3" i="14"/>
  <c r="AA4" i="14" s="1"/>
  <c r="X7" i="14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3" i="14"/>
  <c r="AF56" i="14" l="1"/>
  <c r="AF57" i="14"/>
  <c r="AF58" i="14"/>
  <c r="AN94" i="14"/>
  <c r="AF52" i="14"/>
  <c r="AN80" i="14"/>
  <c r="AA64" i="14"/>
  <c r="AA65" i="14"/>
  <c r="AN73" i="14"/>
  <c r="AN66" i="14"/>
  <c r="AF51" i="14"/>
  <c r="AA66" i="14"/>
  <c r="AA62" i="14"/>
  <c r="AA63" i="14"/>
  <c r="AA60" i="14"/>
  <c r="AA61" i="14"/>
  <c r="AF44" i="14"/>
  <c r="AA59" i="14"/>
  <c r="AF55" i="14"/>
  <c r="AA58" i="14"/>
  <c r="AA57" i="14"/>
  <c r="AF48" i="14"/>
  <c r="AA56" i="14"/>
  <c r="AA55" i="14"/>
  <c r="AF43" i="14"/>
  <c r="AA53" i="14"/>
  <c r="AA54" i="14"/>
  <c r="AA52" i="14"/>
  <c r="AF49" i="14"/>
  <c r="C49" i="14" s="1"/>
  <c r="AA51" i="14"/>
  <c r="AF41" i="14"/>
  <c r="AA50" i="14"/>
  <c r="AA49" i="14"/>
  <c r="AF45" i="14"/>
  <c r="AA47" i="14"/>
  <c r="AA46" i="14"/>
  <c r="AA48" i="14"/>
  <c r="AA45" i="14"/>
  <c r="AA44" i="14"/>
  <c r="AF42" i="14"/>
  <c r="AA43" i="14"/>
  <c r="AA42" i="14"/>
  <c r="AA41" i="14"/>
  <c r="AF38" i="14"/>
  <c r="AF37" i="14"/>
  <c r="AF31" i="14"/>
  <c r="AF7" i="14"/>
  <c r="AF36" i="14"/>
  <c r="AF35" i="14"/>
  <c r="AA40" i="14"/>
  <c r="AA38" i="14"/>
  <c r="AA39" i="14"/>
  <c r="AA37" i="14"/>
  <c r="AA36" i="14"/>
  <c r="AA33" i="14"/>
  <c r="AA31" i="14"/>
  <c r="AA34" i="14"/>
  <c r="AA35" i="14"/>
  <c r="AA32" i="14"/>
  <c r="AF30" i="14"/>
  <c r="AF23" i="14"/>
  <c r="AF6" i="14"/>
  <c r="AF29" i="14"/>
  <c r="AA30" i="14"/>
  <c r="AF22" i="14"/>
  <c r="AF28" i="14"/>
  <c r="AA29" i="14"/>
  <c r="AF3" i="14"/>
  <c r="AA26" i="14"/>
  <c r="AA28" i="14"/>
  <c r="AA27" i="14"/>
  <c r="AA24" i="14"/>
  <c r="AA25" i="14"/>
  <c r="AF17" i="14"/>
  <c r="AA23" i="14"/>
  <c r="AF16" i="14"/>
  <c r="AA22" i="14"/>
  <c r="AF15" i="14"/>
  <c r="AF21" i="14"/>
  <c r="AF20" i="14"/>
  <c r="AF14" i="14"/>
  <c r="AF10" i="14"/>
  <c r="C10" i="14" s="1"/>
  <c r="AF8" i="14"/>
  <c r="AF13" i="14"/>
  <c r="AF9" i="14"/>
  <c r="AA21" i="14"/>
  <c r="AA17" i="14"/>
  <c r="AA16" i="14"/>
  <c r="AA15" i="14"/>
  <c r="AA14" i="14"/>
  <c r="AA13" i="14"/>
  <c r="AA12" i="14"/>
  <c r="AA11" i="14"/>
  <c r="AA10" i="14"/>
  <c r="AA8" i="14"/>
  <c r="AA9" i="14"/>
  <c r="AA7" i="14"/>
  <c r="AA3" i="14"/>
  <c r="AA5" i="14"/>
  <c r="AA6" i="14"/>
  <c r="AW3" i="14"/>
  <c r="BA26" i="14" s="1"/>
  <c r="AN59" i="14" l="1"/>
  <c r="BA61" i="14"/>
  <c r="BA65" i="14"/>
  <c r="BA64" i="14"/>
  <c r="BA66" i="14"/>
  <c r="BA63" i="14"/>
  <c r="BA62" i="14"/>
  <c r="BA60" i="14"/>
  <c r="BA58" i="14"/>
  <c r="BA59" i="14"/>
  <c r="BA57" i="14"/>
  <c r="AN52" i="14"/>
  <c r="BA56" i="14"/>
  <c r="BA51" i="14"/>
  <c r="BA53" i="14"/>
  <c r="BA50" i="14"/>
  <c r="BA52" i="14"/>
  <c r="BA49" i="14"/>
  <c r="BA55" i="14"/>
  <c r="BA54" i="14"/>
  <c r="BA44" i="14"/>
  <c r="BA48" i="14"/>
  <c r="BA46" i="14"/>
  <c r="BA47" i="14"/>
  <c r="AN45" i="14"/>
  <c r="BA45" i="14"/>
  <c r="BA43" i="14"/>
  <c r="BA41" i="14"/>
  <c r="BA42" i="14"/>
  <c r="BA33" i="14"/>
  <c r="BA32" i="14"/>
  <c r="BA37" i="14"/>
  <c r="BA39" i="14"/>
  <c r="BA38" i="14"/>
  <c r="BA36" i="14"/>
  <c r="BA34" i="14"/>
  <c r="BA35" i="14"/>
  <c r="BA40" i="14"/>
  <c r="BA31" i="14"/>
  <c r="BA30" i="14"/>
  <c r="BA29" i="14"/>
  <c r="BA24" i="14"/>
  <c r="BA25" i="14"/>
  <c r="BA28" i="14"/>
  <c r="BA23" i="14"/>
  <c r="BA27" i="14"/>
  <c r="BA22" i="14"/>
  <c r="BA21" i="14"/>
  <c r="BA17" i="14"/>
  <c r="BA20" i="14"/>
  <c r="BA19" i="14"/>
  <c r="BA14" i="14"/>
  <c r="BA18" i="14"/>
  <c r="BA16" i="14"/>
  <c r="BA15" i="14"/>
  <c r="BA12" i="14"/>
  <c r="BA13" i="14"/>
  <c r="BA11" i="14"/>
  <c r="BA8" i="14"/>
  <c r="BA6" i="14"/>
  <c r="BA9" i="14"/>
  <c r="BA4" i="14"/>
  <c r="BA7" i="14"/>
  <c r="BA5" i="14"/>
  <c r="BA10" i="14"/>
  <c r="BA3" i="14"/>
  <c r="AW67" i="14" l="1"/>
  <c r="BA68" i="14" s="1"/>
  <c r="AW78" i="14"/>
  <c r="AA67" i="14"/>
  <c r="AA69" i="14"/>
  <c r="AA68" i="14"/>
  <c r="AW70" i="14"/>
  <c r="BA67" i="14" l="1"/>
  <c r="BA69" i="14"/>
  <c r="BA70" i="14"/>
  <c r="BA71" i="14"/>
  <c r="BA72" i="14"/>
  <c r="BA73" i="14"/>
  <c r="AA72" i="14"/>
  <c r="AA73" i="14"/>
  <c r="AA71" i="14"/>
  <c r="AA70" i="14"/>
  <c r="F24" i="4"/>
  <c r="AW82" i="14" l="1"/>
  <c r="F23" i="4"/>
  <c r="F31" i="4"/>
  <c r="F27" i="4"/>
  <c r="F30" i="4"/>
  <c r="F26" i="4"/>
  <c r="F22" i="4"/>
  <c r="M3" i="14"/>
  <c r="Q3" i="14" s="1"/>
  <c r="T3" i="14"/>
  <c r="AD3" i="14"/>
  <c r="AI3" i="14"/>
  <c r="AI5" i="14"/>
  <c r="AI6" i="14"/>
  <c r="AI7" i="14"/>
  <c r="AI8" i="14"/>
  <c r="AI9" i="14"/>
  <c r="AI10" i="14"/>
  <c r="AI11" i="14"/>
  <c r="AI12" i="14"/>
  <c r="AI13" i="14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43" i="14"/>
  <c r="AI44" i="14"/>
  <c r="AI45" i="14"/>
  <c r="AI46" i="14"/>
  <c r="AI47" i="14"/>
  <c r="AI48" i="14"/>
  <c r="AI49" i="14"/>
  <c r="AI50" i="14"/>
  <c r="AI51" i="14"/>
  <c r="AI52" i="14"/>
  <c r="AI53" i="14"/>
  <c r="AI54" i="14"/>
  <c r="AI55" i="14"/>
  <c r="AI56" i="14"/>
  <c r="AI57" i="14"/>
  <c r="AI58" i="14"/>
  <c r="AI59" i="14"/>
  <c r="AI60" i="14"/>
  <c r="AI61" i="14"/>
  <c r="AI62" i="14"/>
  <c r="AI63" i="14"/>
  <c r="AI64" i="14"/>
  <c r="AI65" i="14"/>
  <c r="AI66" i="14"/>
  <c r="AI67" i="14"/>
  <c r="AI68" i="14"/>
  <c r="AI69" i="14"/>
  <c r="AI70" i="14"/>
  <c r="AI71" i="14"/>
  <c r="AI72" i="14"/>
  <c r="AI73" i="14"/>
  <c r="AI74" i="14"/>
  <c r="AI75" i="14"/>
  <c r="AI76" i="14"/>
  <c r="AI77" i="14"/>
  <c r="AI78" i="14"/>
  <c r="AI79" i="14"/>
  <c r="AI80" i="14"/>
  <c r="AI81" i="14"/>
  <c r="AI82" i="14"/>
  <c r="AI83" i="14"/>
  <c r="AI84" i="14"/>
  <c r="AI85" i="14"/>
  <c r="AI86" i="14"/>
  <c r="AI87" i="14"/>
  <c r="AI88" i="14"/>
  <c r="AI89" i="14"/>
  <c r="AI90" i="14"/>
  <c r="AI91" i="14"/>
  <c r="AI92" i="14"/>
  <c r="AI93" i="14"/>
  <c r="AI94" i="14"/>
  <c r="AI95" i="14"/>
  <c r="AI96" i="14"/>
  <c r="AI4" i="14"/>
  <c r="AX3" i="14" l="1"/>
  <c r="BB3" i="14" s="1"/>
  <c r="AV3" i="14"/>
  <c r="AZ3" i="14" s="1"/>
  <c r="AW85" i="14"/>
  <c r="AW96" i="14"/>
  <c r="AW95" i="14"/>
  <c r="AW92" i="14"/>
  <c r="AW84" i="14"/>
  <c r="AW91" i="14"/>
  <c r="AW83" i="14"/>
  <c r="AB3" i="14"/>
  <c r="Z3" i="14"/>
  <c r="L3" i="14"/>
  <c r="N3" i="14"/>
  <c r="R3" i="14" s="1"/>
  <c r="U3" i="14"/>
  <c r="AP3" i="14" l="1"/>
  <c r="AG3" i="14"/>
  <c r="AE3" i="14"/>
  <c r="P3" i="14"/>
  <c r="AD5" i="14" l="1"/>
  <c r="AD6" i="14"/>
  <c r="AD7" i="14"/>
  <c r="AD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D38" i="14"/>
  <c r="AD39" i="14"/>
  <c r="AD40" i="14"/>
  <c r="AD41" i="14"/>
  <c r="AD42" i="14"/>
  <c r="AD43" i="14"/>
  <c r="AD44" i="14"/>
  <c r="AD45" i="14"/>
  <c r="AD46" i="14"/>
  <c r="AD47" i="14"/>
  <c r="AD48" i="14"/>
  <c r="AD49" i="14"/>
  <c r="AD50" i="14"/>
  <c r="AD51" i="14"/>
  <c r="AD52" i="14"/>
  <c r="AD53" i="14"/>
  <c r="AD54" i="14"/>
  <c r="AD55" i="14"/>
  <c r="AD56" i="14"/>
  <c r="AD57" i="14"/>
  <c r="AD58" i="14"/>
  <c r="AD59" i="14"/>
  <c r="AD60" i="14"/>
  <c r="AD61" i="14"/>
  <c r="AD62" i="14"/>
  <c r="AD63" i="14"/>
  <c r="AD64" i="14"/>
  <c r="AD65" i="14"/>
  <c r="AD66" i="14"/>
  <c r="AD67" i="14"/>
  <c r="AD68" i="14"/>
  <c r="AD69" i="14"/>
  <c r="AD70" i="14"/>
  <c r="AD71" i="14"/>
  <c r="AD72" i="14"/>
  <c r="AD73" i="14"/>
  <c r="AD74" i="14"/>
  <c r="AD75" i="14"/>
  <c r="AD76" i="14"/>
  <c r="AD77" i="14"/>
  <c r="AD78" i="14"/>
  <c r="AD79" i="14"/>
  <c r="AD80" i="14"/>
  <c r="AD81" i="14"/>
  <c r="AD82" i="14"/>
  <c r="AD83" i="14"/>
  <c r="AD84" i="14"/>
  <c r="AD85" i="14"/>
  <c r="AD86" i="14"/>
  <c r="AD87" i="14"/>
  <c r="AD88" i="14"/>
  <c r="AD89" i="14"/>
  <c r="AD90" i="14"/>
  <c r="AD91" i="14"/>
  <c r="AD92" i="14"/>
  <c r="AD93" i="14"/>
  <c r="AD94" i="14"/>
  <c r="AD95" i="14"/>
  <c r="AD96" i="14"/>
  <c r="AD4" i="14"/>
  <c r="AX96" i="14" l="1"/>
  <c r="T96" i="14"/>
  <c r="T95" i="14"/>
  <c r="AV94" i="14"/>
  <c r="T94" i="14"/>
  <c r="M94" i="14"/>
  <c r="Q94" i="14" s="1"/>
  <c r="AX93" i="14"/>
  <c r="AV93" i="14"/>
  <c r="T93" i="14"/>
  <c r="M93" i="14"/>
  <c r="Q93" i="14" s="1"/>
  <c r="AX92" i="14"/>
  <c r="T92" i="14"/>
  <c r="M92" i="14"/>
  <c r="Q92" i="14" s="1"/>
  <c r="AX91" i="14"/>
  <c r="T91" i="14"/>
  <c r="M91" i="14"/>
  <c r="Q91" i="14" s="1"/>
  <c r="AX90" i="14"/>
  <c r="T90" i="14"/>
  <c r="M90" i="14"/>
  <c r="AX89" i="14"/>
  <c r="AV89" i="14"/>
  <c r="T89" i="14"/>
  <c r="AX88" i="14"/>
  <c r="AV88" i="14"/>
  <c r="T88" i="14"/>
  <c r="AX87" i="14"/>
  <c r="AV87" i="14"/>
  <c r="T87" i="14"/>
  <c r="M87" i="14"/>
  <c r="Q87" i="14" s="1"/>
  <c r="AX86" i="14"/>
  <c r="AV86" i="14"/>
  <c r="T86" i="14"/>
  <c r="M86" i="14"/>
  <c r="Q86" i="14" s="1"/>
  <c r="AX85" i="14"/>
  <c r="T85" i="14"/>
  <c r="M85" i="14"/>
  <c r="Q85" i="14" s="1"/>
  <c r="T84" i="14"/>
  <c r="M84" i="14"/>
  <c r="Q84" i="14" s="1"/>
  <c r="AX83" i="14"/>
  <c r="AV83" i="14"/>
  <c r="T83" i="14"/>
  <c r="AX82" i="14"/>
  <c r="AV82" i="14"/>
  <c r="T82" i="14"/>
  <c r="AX81" i="14"/>
  <c r="AV81" i="14"/>
  <c r="T81" i="14"/>
  <c r="AX80" i="14"/>
  <c r="AV80" i="14"/>
  <c r="T80" i="14"/>
  <c r="M80" i="14"/>
  <c r="Q80" i="14" s="1"/>
  <c r="AX79" i="14"/>
  <c r="AV79" i="14"/>
  <c r="T79" i="14"/>
  <c r="M79" i="14"/>
  <c r="Q79" i="14" s="1"/>
  <c r="AX78" i="14"/>
  <c r="AV78" i="14"/>
  <c r="T78" i="14"/>
  <c r="M78" i="14"/>
  <c r="Q78" i="14" s="1"/>
  <c r="AX77" i="14"/>
  <c r="AV77" i="14"/>
  <c r="T77" i="14"/>
  <c r="M77" i="14"/>
  <c r="AX76" i="14"/>
  <c r="AV76" i="14"/>
  <c r="T76" i="14"/>
  <c r="M76" i="14"/>
  <c r="AX75" i="14"/>
  <c r="AV75" i="14"/>
  <c r="T75" i="14"/>
  <c r="AX74" i="14"/>
  <c r="AV74" i="14"/>
  <c r="T74" i="14"/>
  <c r="AX73" i="14"/>
  <c r="AV73" i="14"/>
  <c r="T73" i="14"/>
  <c r="M73" i="14"/>
  <c r="Q73" i="14" s="1"/>
  <c r="AX72" i="14"/>
  <c r="AV72" i="14"/>
  <c r="T72" i="14"/>
  <c r="AX71" i="14"/>
  <c r="AV71" i="14"/>
  <c r="T71" i="14"/>
  <c r="M71" i="14"/>
  <c r="Q71" i="14" s="1"/>
  <c r="AX70" i="14"/>
  <c r="T70" i="14"/>
  <c r="M70" i="14"/>
  <c r="Q70" i="14" s="1"/>
  <c r="AX69" i="14"/>
  <c r="AV69" i="14"/>
  <c r="T69" i="14"/>
  <c r="M69" i="14"/>
  <c r="Q69" i="14" s="1"/>
  <c r="AX68" i="14"/>
  <c r="T68" i="14"/>
  <c r="AX67" i="14"/>
  <c r="T67" i="14"/>
  <c r="AV66" i="14"/>
  <c r="T66" i="14"/>
  <c r="M66" i="14"/>
  <c r="Q66" i="14" s="1"/>
  <c r="AX65" i="14"/>
  <c r="AV65" i="14"/>
  <c r="T65" i="14"/>
  <c r="M65" i="14"/>
  <c r="Q65" i="14" s="1"/>
  <c r="AX64" i="14"/>
  <c r="T64" i="14"/>
  <c r="M64" i="14"/>
  <c r="Q64" i="14" s="1"/>
  <c r="AX63" i="14"/>
  <c r="T63" i="14"/>
  <c r="M63" i="14"/>
  <c r="Q63" i="14" s="1"/>
  <c r="AX62" i="14"/>
  <c r="AV62" i="14"/>
  <c r="T62" i="14"/>
  <c r="M62" i="14"/>
  <c r="Q62" i="14" s="1"/>
  <c r="AX61" i="14"/>
  <c r="AV61" i="14"/>
  <c r="T61" i="14"/>
  <c r="AX60" i="14"/>
  <c r="AV60" i="14"/>
  <c r="T60" i="14"/>
  <c r="AV59" i="14"/>
  <c r="T59" i="14"/>
  <c r="M59" i="14"/>
  <c r="Q59" i="14" s="1"/>
  <c r="AX58" i="14"/>
  <c r="AV58" i="14"/>
  <c r="T58" i="14"/>
  <c r="M58" i="14"/>
  <c r="Q58" i="14" s="1"/>
  <c r="AX57" i="14"/>
  <c r="T57" i="14"/>
  <c r="M57" i="14"/>
  <c r="Q57" i="14" s="1"/>
  <c r="AX56" i="14"/>
  <c r="T56" i="14"/>
  <c r="M56" i="14"/>
  <c r="Q56" i="14" s="1"/>
  <c r="T55" i="14"/>
  <c r="M55" i="14"/>
  <c r="Q55" i="14" s="1"/>
  <c r="AX54" i="14"/>
  <c r="T54" i="14"/>
  <c r="AX53" i="14"/>
  <c r="T53" i="14"/>
  <c r="AV52" i="14"/>
  <c r="T52" i="14"/>
  <c r="M52" i="14"/>
  <c r="Q52" i="14" s="1"/>
  <c r="AX51" i="14"/>
  <c r="AV51" i="14"/>
  <c r="T51" i="14"/>
  <c r="M51" i="14"/>
  <c r="Q51" i="14" s="1"/>
  <c r="AX50" i="14"/>
  <c r="AV50" i="14"/>
  <c r="T50" i="14"/>
  <c r="M50" i="14"/>
  <c r="Q50" i="14" s="1"/>
  <c r="AX49" i="14"/>
  <c r="T49" i="14"/>
  <c r="M49" i="14"/>
  <c r="Q49" i="14" s="1"/>
  <c r="T48" i="14"/>
  <c r="M48" i="14"/>
  <c r="Q48" i="14" s="1"/>
  <c r="T47" i="14"/>
  <c r="T46" i="14"/>
  <c r="AX45" i="14"/>
  <c r="AV45" i="14"/>
  <c r="T45" i="14"/>
  <c r="M45" i="14"/>
  <c r="Q45" i="14" s="1"/>
  <c r="AX44" i="14"/>
  <c r="AV44" i="14"/>
  <c r="T44" i="14"/>
  <c r="M44" i="14"/>
  <c r="Q44" i="14" s="1"/>
  <c r="AX43" i="14"/>
  <c r="T43" i="14"/>
  <c r="M43" i="14"/>
  <c r="Q43" i="14" s="1"/>
  <c r="AX42" i="14"/>
  <c r="T42" i="14"/>
  <c r="M42" i="14"/>
  <c r="Q42" i="14" s="1"/>
  <c r="AX41" i="14"/>
  <c r="T41" i="14"/>
  <c r="M41" i="14"/>
  <c r="Q41" i="14" s="1"/>
  <c r="AX40" i="14"/>
  <c r="AV40" i="14"/>
  <c r="T40" i="14"/>
  <c r="AX39" i="14"/>
  <c r="T39" i="14"/>
  <c r="AX38" i="14"/>
  <c r="AV38" i="14"/>
  <c r="T38" i="14"/>
  <c r="M38" i="14"/>
  <c r="Q38" i="14" s="1"/>
  <c r="AX37" i="14"/>
  <c r="AV37" i="14"/>
  <c r="T37" i="14"/>
  <c r="M37" i="14"/>
  <c r="Q37" i="14" s="1"/>
  <c r="AX36" i="14"/>
  <c r="T36" i="14"/>
  <c r="M36" i="14"/>
  <c r="Q36" i="14" s="1"/>
  <c r="AX35" i="14"/>
  <c r="AV35" i="14"/>
  <c r="T35" i="14"/>
  <c r="M35" i="14"/>
  <c r="Q35" i="14" s="1"/>
  <c r="AV34" i="14"/>
  <c r="T34" i="14"/>
  <c r="T33" i="14"/>
  <c r="T32" i="14"/>
  <c r="AX31" i="14"/>
  <c r="AV31" i="14"/>
  <c r="T31" i="14"/>
  <c r="M31" i="14"/>
  <c r="Q31" i="14" s="1"/>
  <c r="AX30" i="14"/>
  <c r="AV30" i="14"/>
  <c r="T30" i="14"/>
  <c r="M30" i="14"/>
  <c r="Q30" i="14" s="1"/>
  <c r="AX29" i="14"/>
  <c r="AV29" i="14"/>
  <c r="T29" i="14"/>
  <c r="M29" i="14"/>
  <c r="Q29" i="14" s="1"/>
  <c r="AX28" i="14"/>
  <c r="AV28" i="14"/>
  <c r="T28" i="14"/>
  <c r="M28" i="14"/>
  <c r="Q28" i="14" s="1"/>
  <c r="AX27" i="14"/>
  <c r="AV27" i="14"/>
  <c r="T27" i="14"/>
  <c r="T26" i="14"/>
  <c r="T25" i="14"/>
  <c r="AX24" i="14"/>
  <c r="AV24" i="14"/>
  <c r="T24" i="14"/>
  <c r="AX23" i="14"/>
  <c r="AV23" i="14"/>
  <c r="T23" i="14"/>
  <c r="M23" i="14"/>
  <c r="Q23" i="14" s="1"/>
  <c r="AX22" i="14"/>
  <c r="AV22" i="14"/>
  <c r="T22" i="14"/>
  <c r="M22" i="14"/>
  <c r="Q22" i="14" s="1"/>
  <c r="AX21" i="14"/>
  <c r="AV21" i="14"/>
  <c r="T21" i="14"/>
  <c r="M21" i="14"/>
  <c r="Q21" i="14" s="1"/>
  <c r="T20" i="14"/>
  <c r="M20" i="14"/>
  <c r="Q20" i="14" s="1"/>
  <c r="AX19" i="14"/>
  <c r="AV19" i="14"/>
  <c r="T19" i="14"/>
  <c r="AX18" i="14"/>
  <c r="AV17" i="14"/>
  <c r="T17" i="14"/>
  <c r="M17" i="14"/>
  <c r="Q17" i="14" s="1"/>
  <c r="AX16" i="14"/>
  <c r="AV16" i="14"/>
  <c r="T16" i="14"/>
  <c r="M16" i="14"/>
  <c r="Q16" i="14" s="1"/>
  <c r="AX15" i="14"/>
  <c r="T15" i="14"/>
  <c r="M15" i="14"/>
  <c r="Q15" i="14" s="1"/>
  <c r="AX14" i="14"/>
  <c r="T14" i="14"/>
  <c r="M14" i="14"/>
  <c r="Q14" i="14" s="1"/>
  <c r="T13" i="14"/>
  <c r="M13" i="14"/>
  <c r="Q13" i="14" s="1"/>
  <c r="AX12" i="14"/>
  <c r="T12" i="14"/>
  <c r="AX11" i="14"/>
  <c r="AV11" i="14"/>
  <c r="T11" i="14"/>
  <c r="AX10" i="14"/>
  <c r="AV10" i="14"/>
  <c r="T10" i="14"/>
  <c r="M10" i="14"/>
  <c r="Q10" i="14" s="1"/>
  <c r="AX9" i="14"/>
  <c r="AV9" i="14"/>
  <c r="T9" i="14"/>
  <c r="M9" i="14"/>
  <c r="Q9" i="14" s="1"/>
  <c r="AX8" i="14"/>
  <c r="AV8" i="14"/>
  <c r="T8" i="14"/>
  <c r="M8" i="14"/>
  <c r="Q8" i="14" s="1"/>
  <c r="AX7" i="14"/>
  <c r="AV7" i="14"/>
  <c r="T7" i="14"/>
  <c r="M7" i="14"/>
  <c r="Q7" i="14" s="1"/>
  <c r="AX6" i="14"/>
  <c r="AV6" i="14"/>
  <c r="T6" i="14"/>
  <c r="M6" i="14"/>
  <c r="Q6" i="14" s="1"/>
  <c r="AX5" i="14"/>
  <c r="AV5" i="14"/>
  <c r="T5" i="14"/>
  <c r="T4" i="14"/>
  <c r="AX4" i="14" l="1"/>
  <c r="BB11" i="14" s="1"/>
  <c r="AV4" i="14"/>
  <c r="AZ7" i="14" s="1"/>
  <c r="AP93" i="14"/>
  <c r="AP86" i="14"/>
  <c r="AP87" i="14"/>
  <c r="AP80" i="14"/>
  <c r="AP79" i="14"/>
  <c r="AP72" i="14"/>
  <c r="AP73" i="14"/>
  <c r="AP65" i="14"/>
  <c r="AP58" i="14"/>
  <c r="AP51" i="14"/>
  <c r="AP45" i="14"/>
  <c r="AP44" i="14"/>
  <c r="AP37" i="14"/>
  <c r="AP38" i="14"/>
  <c r="AP31" i="14"/>
  <c r="AP23" i="14"/>
  <c r="M11" i="14"/>
  <c r="Q11" i="14" s="1"/>
  <c r="AB12" i="14"/>
  <c r="Z11" i="14"/>
  <c r="AB11" i="14"/>
  <c r="Z10" i="14"/>
  <c r="AB10" i="14"/>
  <c r="M5" i="14"/>
  <c r="Q5" i="14" s="1"/>
  <c r="Z9" i="14"/>
  <c r="AB9" i="14"/>
  <c r="Z7" i="14"/>
  <c r="Z8" i="14"/>
  <c r="AB7" i="14"/>
  <c r="AB8" i="14"/>
  <c r="Z6" i="14"/>
  <c r="Z4" i="14"/>
  <c r="Z5" i="14"/>
  <c r="AB5" i="14"/>
  <c r="AB4" i="14"/>
  <c r="AB6" i="14"/>
  <c r="L17" i="14"/>
  <c r="P17" i="14" s="1"/>
  <c r="N17" i="14"/>
  <c r="L57" i="14"/>
  <c r="N57" i="14"/>
  <c r="R57" i="14" s="1"/>
  <c r="N65" i="14"/>
  <c r="R65" i="14" s="1"/>
  <c r="L65" i="14"/>
  <c r="P65" i="14" s="1"/>
  <c r="L6" i="14"/>
  <c r="N6" i="14"/>
  <c r="R6" i="14" s="1"/>
  <c r="L14" i="14"/>
  <c r="N14" i="14"/>
  <c r="R14" i="14" s="1"/>
  <c r="N22" i="14"/>
  <c r="R22" i="14" s="1"/>
  <c r="L22" i="14"/>
  <c r="P22" i="14" s="1"/>
  <c r="N30" i="14"/>
  <c r="R30" i="14" s="1"/>
  <c r="L30" i="14"/>
  <c r="P30" i="14" s="1"/>
  <c r="L38" i="14"/>
  <c r="P38" i="14" s="1"/>
  <c r="N38" i="14"/>
  <c r="R38" i="14" s="1"/>
  <c r="N62" i="14"/>
  <c r="R62" i="14" s="1"/>
  <c r="L62" i="14"/>
  <c r="P62" i="14" s="1"/>
  <c r="L70" i="14"/>
  <c r="N70" i="14"/>
  <c r="R70" i="14" s="1"/>
  <c r="L78" i="14"/>
  <c r="P78" i="14" s="1"/>
  <c r="N78" i="14"/>
  <c r="R78" i="14" s="1"/>
  <c r="N86" i="14"/>
  <c r="R86" i="14" s="1"/>
  <c r="L86" i="14"/>
  <c r="P86" i="14" s="1"/>
  <c r="L35" i="14"/>
  <c r="P35" i="14" s="1"/>
  <c r="N35" i="14"/>
  <c r="R35" i="14" s="1"/>
  <c r="N43" i="14"/>
  <c r="R43" i="14" s="1"/>
  <c r="L43" i="14"/>
  <c r="L51" i="14"/>
  <c r="P51" i="14" s="1"/>
  <c r="N51" i="14"/>
  <c r="R51" i="14" s="1"/>
  <c r="L59" i="14"/>
  <c r="P59" i="14" s="1"/>
  <c r="N59" i="14"/>
  <c r="L94" i="14"/>
  <c r="P94" i="14" s="1"/>
  <c r="N94" i="14"/>
  <c r="L92" i="14"/>
  <c r="N92" i="14"/>
  <c r="R92" i="14" s="1"/>
  <c r="U8" i="14"/>
  <c r="N8" i="14"/>
  <c r="R8" i="14" s="1"/>
  <c r="L8" i="14"/>
  <c r="L16" i="14"/>
  <c r="P16" i="14" s="1"/>
  <c r="N16" i="14"/>
  <c r="R16" i="14" s="1"/>
  <c r="L48" i="14"/>
  <c r="N48" i="14"/>
  <c r="U56" i="14"/>
  <c r="N56" i="14"/>
  <c r="R56" i="14" s="1"/>
  <c r="L56" i="14"/>
  <c r="U64" i="14"/>
  <c r="N64" i="14"/>
  <c r="R64" i="14" s="1"/>
  <c r="L64" i="14"/>
  <c r="L80" i="14"/>
  <c r="P80" i="14" s="1"/>
  <c r="N80" i="14"/>
  <c r="R80" i="14" s="1"/>
  <c r="U91" i="14"/>
  <c r="N91" i="14"/>
  <c r="R91" i="14" s="1"/>
  <c r="L91" i="14"/>
  <c r="N9" i="14"/>
  <c r="R9" i="14" s="1"/>
  <c r="L9" i="14"/>
  <c r="N49" i="14"/>
  <c r="R49" i="14" s="1"/>
  <c r="L49" i="14"/>
  <c r="L13" i="14"/>
  <c r="N13" i="14"/>
  <c r="L21" i="14"/>
  <c r="P21" i="14" s="1"/>
  <c r="N21" i="14"/>
  <c r="R21" i="14" s="1"/>
  <c r="L29" i="14"/>
  <c r="P29" i="14" s="1"/>
  <c r="N29" i="14"/>
  <c r="R29" i="14" s="1"/>
  <c r="N37" i="14"/>
  <c r="R37" i="14" s="1"/>
  <c r="L37" i="14"/>
  <c r="P37" i="14" s="1"/>
  <c r="N45" i="14"/>
  <c r="R45" i="14" s="1"/>
  <c r="L45" i="14"/>
  <c r="P45" i="14" s="1"/>
  <c r="N69" i="14"/>
  <c r="R69" i="14" s="1"/>
  <c r="L69" i="14"/>
  <c r="P69" i="14" s="1"/>
  <c r="L77" i="14"/>
  <c r="P77" i="14" s="1"/>
  <c r="N77" i="14"/>
  <c r="R77" i="14" s="1"/>
  <c r="L85" i="14"/>
  <c r="N85" i="14"/>
  <c r="R85" i="14" s="1"/>
  <c r="N10" i="14"/>
  <c r="R10" i="14" s="1"/>
  <c r="L10" i="14"/>
  <c r="P10" i="14" s="1"/>
  <c r="N42" i="14"/>
  <c r="R42" i="14" s="1"/>
  <c r="L42" i="14"/>
  <c r="N50" i="14"/>
  <c r="R50" i="14" s="1"/>
  <c r="L50" i="14"/>
  <c r="P50" i="14" s="1"/>
  <c r="N58" i="14"/>
  <c r="R58" i="14" s="1"/>
  <c r="L58" i="14"/>
  <c r="P58" i="14" s="1"/>
  <c r="L66" i="14"/>
  <c r="P66" i="14" s="1"/>
  <c r="N66" i="14"/>
  <c r="L93" i="14"/>
  <c r="P93" i="14" s="1"/>
  <c r="N93" i="14"/>
  <c r="R93" i="14" s="1"/>
  <c r="N41" i="14"/>
  <c r="R41" i="14" s="1"/>
  <c r="L41" i="14"/>
  <c r="N73" i="14"/>
  <c r="R73" i="14" s="1"/>
  <c r="L73" i="14"/>
  <c r="P73" i="14" s="1"/>
  <c r="U23" i="14"/>
  <c r="L23" i="14"/>
  <c r="P23" i="14" s="1"/>
  <c r="N23" i="14"/>
  <c r="R23" i="14" s="1"/>
  <c r="L31" i="14"/>
  <c r="P31" i="14" s="1"/>
  <c r="N31" i="14"/>
  <c r="R31" i="14" s="1"/>
  <c r="L55" i="14"/>
  <c r="N55" i="14"/>
  <c r="L63" i="14"/>
  <c r="N63" i="14"/>
  <c r="R63" i="14" s="1"/>
  <c r="L71" i="14"/>
  <c r="P71" i="14" s="1"/>
  <c r="N71" i="14"/>
  <c r="R71" i="14" s="1"/>
  <c r="L79" i="14"/>
  <c r="P79" i="14" s="1"/>
  <c r="N79" i="14"/>
  <c r="R79" i="14" s="1"/>
  <c r="L90" i="14"/>
  <c r="N90" i="14"/>
  <c r="R90" i="14" s="1"/>
  <c r="L7" i="14"/>
  <c r="N7" i="14"/>
  <c r="R7" i="14" s="1"/>
  <c r="L15" i="14"/>
  <c r="N15" i="14"/>
  <c r="R15" i="14" s="1"/>
  <c r="L20" i="14"/>
  <c r="N20" i="14"/>
  <c r="L28" i="14"/>
  <c r="P28" i="14" s="1"/>
  <c r="N28" i="14"/>
  <c r="R28" i="14" s="1"/>
  <c r="L36" i="14"/>
  <c r="N36" i="14"/>
  <c r="R36" i="14" s="1"/>
  <c r="L44" i="14"/>
  <c r="P44" i="14" s="1"/>
  <c r="N44" i="14"/>
  <c r="R44" i="14" s="1"/>
  <c r="L52" i="14"/>
  <c r="P52" i="14" s="1"/>
  <c r="N52" i="14"/>
  <c r="L76" i="14"/>
  <c r="P76" i="14" s="1"/>
  <c r="N76" i="14"/>
  <c r="R76" i="14" s="1"/>
  <c r="L84" i="14"/>
  <c r="N84" i="14"/>
  <c r="N87" i="14"/>
  <c r="R87" i="14" s="1"/>
  <c r="L87" i="14"/>
  <c r="P87" i="14" s="1"/>
  <c r="U22" i="14"/>
  <c r="U13" i="14"/>
  <c r="U6" i="14"/>
  <c r="U9" i="14"/>
  <c r="U7" i="14"/>
  <c r="U14" i="14"/>
  <c r="U17" i="14"/>
  <c r="U15" i="14"/>
  <c r="U10" i="14"/>
  <c r="U16" i="14"/>
  <c r="U20" i="14"/>
  <c r="U35" i="14"/>
  <c r="U21" i="14"/>
  <c r="U31" i="14"/>
  <c r="U36" i="14"/>
  <c r="U28" i="14"/>
  <c r="U41" i="14"/>
  <c r="U49" i="14"/>
  <c r="U69" i="14"/>
  <c r="U85" i="14"/>
  <c r="U44" i="14"/>
  <c r="U57" i="14"/>
  <c r="U65" i="14"/>
  <c r="U73" i="14"/>
  <c r="U29" i="14"/>
  <c r="U37" i="14"/>
  <c r="U42" i="14"/>
  <c r="U50" i="14"/>
  <c r="U51" i="14"/>
  <c r="U45" i="14"/>
  <c r="U52" i="14"/>
  <c r="U58" i="14"/>
  <c r="U62" i="14"/>
  <c r="U66" i="14"/>
  <c r="U30" i="14"/>
  <c r="U38" i="14"/>
  <c r="U48" i="14"/>
  <c r="U55" i="14"/>
  <c r="U43" i="14"/>
  <c r="U59" i="14"/>
  <c r="U63" i="14"/>
  <c r="U71" i="14"/>
  <c r="U80" i="14"/>
  <c r="U76" i="14"/>
  <c r="U78" i="14"/>
  <c r="U79" i="14"/>
  <c r="U84" i="14"/>
  <c r="U77" i="14"/>
  <c r="M72" i="14"/>
  <c r="Q72" i="14" s="1"/>
  <c r="U70" i="14"/>
  <c r="U86" i="14"/>
  <c r="U94" i="14"/>
  <c r="U87" i="14"/>
  <c r="U90" i="14"/>
  <c r="U93" i="14"/>
  <c r="U92" i="14"/>
  <c r="U11" i="14" l="1"/>
  <c r="U5" i="14"/>
  <c r="L5" i="14"/>
  <c r="P5" i="14" s="1"/>
  <c r="N11" i="14"/>
  <c r="R11" i="14" s="1"/>
  <c r="L11" i="14"/>
  <c r="P11" i="14" s="1"/>
  <c r="N5" i="14"/>
  <c r="R5" i="14" s="1"/>
  <c r="AP24" i="14"/>
  <c r="AP89" i="14"/>
  <c r="AN93" i="14"/>
  <c r="AP16" i="14"/>
  <c r="AP11" i="14"/>
  <c r="AP10" i="14"/>
  <c r="AP7" i="14"/>
  <c r="AN11" i="14"/>
  <c r="AP9" i="14"/>
  <c r="AP8" i="14"/>
  <c r="AP6" i="14"/>
  <c r="AN10" i="14"/>
  <c r="AP5" i="14"/>
  <c r="AN9" i="14"/>
  <c r="BB12" i="14"/>
  <c r="BB4" i="14"/>
  <c r="BB5" i="14"/>
  <c r="BB7" i="14"/>
  <c r="AZ9" i="14"/>
  <c r="BB10" i="14"/>
  <c r="AZ8" i="14"/>
  <c r="BB9" i="14"/>
  <c r="AZ10" i="14"/>
  <c r="BB8" i="14"/>
  <c r="BB6" i="14"/>
  <c r="AZ4" i="14"/>
  <c r="AZ5" i="14"/>
  <c r="AZ6" i="14"/>
  <c r="AZ11" i="14"/>
  <c r="AO11" i="14"/>
  <c r="AO10" i="14"/>
  <c r="AO9" i="14"/>
  <c r="AE71" i="14"/>
  <c r="AE16" i="14"/>
  <c r="AE43" i="14"/>
  <c r="AE42" i="14"/>
  <c r="AE78" i="14"/>
  <c r="AE79" i="14"/>
  <c r="AE93" i="14"/>
  <c r="AE44" i="14"/>
  <c r="AE87" i="14"/>
  <c r="AE36" i="14"/>
  <c r="AE50" i="14"/>
  <c r="AE7" i="14"/>
  <c r="AE84" i="14"/>
  <c r="AE52" i="14"/>
  <c r="AE90" i="14"/>
  <c r="AE10" i="14"/>
  <c r="AE45" i="14"/>
  <c r="AE80" i="14"/>
  <c r="AE86" i="14"/>
  <c r="AE38" i="14"/>
  <c r="AE30" i="14"/>
  <c r="AE14" i="14"/>
  <c r="AE6" i="14"/>
  <c r="AE57" i="14"/>
  <c r="AE63" i="14"/>
  <c r="AE56" i="14"/>
  <c r="AE55" i="14"/>
  <c r="AE41" i="14"/>
  <c r="AE66" i="14"/>
  <c r="AE58" i="14"/>
  <c r="AE69" i="14"/>
  <c r="AE64" i="14"/>
  <c r="AE62" i="14"/>
  <c r="AE17" i="14"/>
  <c r="AE51" i="14"/>
  <c r="AE28" i="14"/>
  <c r="AE76" i="14"/>
  <c r="AE20" i="14"/>
  <c r="AE15" i="14"/>
  <c r="AE73" i="14"/>
  <c r="AE85" i="14"/>
  <c r="AE29" i="14"/>
  <c r="AE91" i="14"/>
  <c r="AE92" i="14"/>
  <c r="AE35" i="14"/>
  <c r="AE70" i="14"/>
  <c r="AE65" i="14"/>
  <c r="AE21" i="14"/>
  <c r="AE94" i="14"/>
  <c r="AE59" i="14"/>
  <c r="AE31" i="14"/>
  <c r="AE49" i="14"/>
  <c r="AE48" i="14"/>
  <c r="AE23" i="14"/>
  <c r="AE37" i="14"/>
  <c r="AE13" i="14"/>
  <c r="P9" i="14"/>
  <c r="AE9" i="14"/>
  <c r="AE77" i="14"/>
  <c r="AE8" i="14"/>
  <c r="AE22" i="14"/>
  <c r="P6" i="14"/>
  <c r="P8" i="14"/>
  <c r="P7" i="14"/>
  <c r="L72" i="14"/>
  <c r="P72" i="14" s="1"/>
  <c r="N72" i="14"/>
  <c r="R72" i="14" s="1"/>
  <c r="U72" i="14"/>
  <c r="AN24" i="14" l="1"/>
  <c r="AE11" i="14"/>
  <c r="M89" i="14"/>
  <c r="Q89" i="14" s="1"/>
  <c r="N89" i="14"/>
  <c r="R89" i="14" s="1"/>
  <c r="L89" i="14"/>
  <c r="U89" i="14"/>
  <c r="M24" i="14"/>
  <c r="Q24" i="14" s="1"/>
  <c r="N24" i="14"/>
  <c r="R24" i="14" s="1"/>
  <c r="L24" i="14"/>
  <c r="U24" i="14"/>
  <c r="AE5" i="14"/>
  <c r="AE72" i="14"/>
  <c r="P24" i="14" l="1"/>
  <c r="AE24" i="14"/>
  <c r="P89" i="14"/>
  <c r="AE89" i="14"/>
  <c r="AV36" i="14"/>
  <c r="AX66" i="14"/>
  <c r="AX84" i="14"/>
  <c r="AX59" i="14"/>
  <c r="F32" i="4"/>
  <c r="F28" i="4"/>
  <c r="AV49" i="14" l="1"/>
  <c r="P49" i="14"/>
  <c r="AW74" i="14"/>
  <c r="BA74" i="14" s="1"/>
  <c r="AA74" i="14"/>
  <c r="AV55" i="14"/>
  <c r="P55" i="14"/>
  <c r="AW90" i="14"/>
  <c r="Q90" i="14"/>
  <c r="AV48" i="14"/>
  <c r="P48" i="14"/>
  <c r="R48" i="14"/>
  <c r="AX48" i="14"/>
  <c r="AV33" i="14"/>
  <c r="AX46" i="14"/>
  <c r="AX34" i="14"/>
  <c r="R55" i="14"/>
  <c r="AX55" i="14"/>
  <c r="AV63" i="14"/>
  <c r="AV70" i="14"/>
  <c r="AV68" i="14"/>
  <c r="AP50" i="14"/>
  <c r="AP59" i="14"/>
  <c r="R59" i="14"/>
  <c r="AP66" i="14"/>
  <c r="R66" i="14"/>
  <c r="AV95" i="14"/>
  <c r="AV90" i="14"/>
  <c r="AV85" i="14"/>
  <c r="R84" i="14"/>
  <c r="AV84" i="14"/>
  <c r="AV57" i="14"/>
  <c r="AV56" i="14"/>
  <c r="AX52" i="14"/>
  <c r="P36" i="14"/>
  <c r="AP35" i="14"/>
  <c r="AV26" i="14"/>
  <c r="AV25" i="14"/>
  <c r="AX20" i="14"/>
  <c r="AV15" i="14"/>
  <c r="AV13" i="14"/>
  <c r="AV53" i="14" l="1"/>
  <c r="AV43" i="14"/>
  <c r="P43" i="14"/>
  <c r="AV41" i="14"/>
  <c r="P41" i="14"/>
  <c r="AP70" i="14"/>
  <c r="P63" i="14"/>
  <c r="P70" i="14"/>
  <c r="AX32" i="14"/>
  <c r="AV67" i="14"/>
  <c r="R17" i="14"/>
  <c r="AX17" i="14"/>
  <c r="P20" i="14"/>
  <c r="AV20" i="14"/>
  <c r="AV12" i="14"/>
  <c r="AZ12" i="14" s="1"/>
  <c r="AX25" i="14"/>
  <c r="AV54" i="14"/>
  <c r="P64" i="14"/>
  <c r="AV64" i="14"/>
  <c r="AX47" i="14"/>
  <c r="P14" i="14"/>
  <c r="AV14" i="14"/>
  <c r="AX33" i="14"/>
  <c r="AW81" i="14"/>
  <c r="AX95" i="14"/>
  <c r="AV39" i="14"/>
  <c r="AV46" i="14"/>
  <c r="AV32" i="14"/>
  <c r="P92" i="14"/>
  <c r="AV92" i="14"/>
  <c r="Q77" i="14"/>
  <c r="AW77" i="14"/>
  <c r="AX13" i="14"/>
  <c r="AX26" i="14"/>
  <c r="P91" i="14"/>
  <c r="AV91" i="14"/>
  <c r="R94" i="14"/>
  <c r="AX94" i="14"/>
  <c r="AW75" i="14"/>
  <c r="BA75" i="14" s="1"/>
  <c r="P42" i="14"/>
  <c r="AV42" i="14"/>
  <c r="Q76" i="14"/>
  <c r="AW76" i="14"/>
  <c r="AV47" i="14"/>
  <c r="AV96" i="14"/>
  <c r="AA75" i="14"/>
  <c r="AP94" i="14"/>
  <c r="AA90" i="14"/>
  <c r="AA78" i="14"/>
  <c r="AP78" i="14"/>
  <c r="AP92" i="14"/>
  <c r="AA84" i="14"/>
  <c r="AA87" i="14"/>
  <c r="AB95" i="14"/>
  <c r="AB96" i="14"/>
  <c r="AA77" i="14"/>
  <c r="AA85" i="14"/>
  <c r="AA83" i="14"/>
  <c r="AA79" i="14"/>
  <c r="AA96" i="14"/>
  <c r="AA88" i="14"/>
  <c r="AA95" i="14"/>
  <c r="Z96" i="14"/>
  <c r="Z95" i="14"/>
  <c r="AA89" i="14"/>
  <c r="AA80" i="14"/>
  <c r="AA81" i="14"/>
  <c r="AA76" i="14"/>
  <c r="Z93" i="14"/>
  <c r="Z94" i="14"/>
  <c r="AA93" i="14"/>
  <c r="AB94" i="14"/>
  <c r="AB93" i="14"/>
  <c r="AA94" i="14"/>
  <c r="Z92" i="14"/>
  <c r="AA82" i="14"/>
  <c r="AA86" i="14"/>
  <c r="AA91" i="14"/>
  <c r="AB92" i="14"/>
  <c r="AA92" i="14"/>
  <c r="AP91" i="14"/>
  <c r="P85" i="14"/>
  <c r="AP85" i="14"/>
  <c r="P90" i="14"/>
  <c r="AP90" i="14"/>
  <c r="AB91" i="14"/>
  <c r="Z91" i="14"/>
  <c r="Z90" i="14"/>
  <c r="AP71" i="14"/>
  <c r="AB90" i="14"/>
  <c r="AB89" i="14"/>
  <c r="Z89" i="14"/>
  <c r="Z86" i="14"/>
  <c r="Z87" i="14"/>
  <c r="Z88" i="14"/>
  <c r="AB88" i="14"/>
  <c r="AB86" i="14"/>
  <c r="AB87" i="14"/>
  <c r="AB85" i="14"/>
  <c r="Z85" i="14"/>
  <c r="P84" i="14"/>
  <c r="AP84" i="14"/>
  <c r="Z84" i="14"/>
  <c r="AB84" i="14"/>
  <c r="Z83" i="14"/>
  <c r="Z82" i="14"/>
  <c r="AB83" i="14"/>
  <c r="AB82" i="14"/>
  <c r="AB80" i="14"/>
  <c r="AB81" i="14"/>
  <c r="AB78" i="14"/>
  <c r="AB79" i="14"/>
  <c r="Z78" i="14"/>
  <c r="Z80" i="14"/>
  <c r="Z81" i="14"/>
  <c r="Z79" i="14"/>
  <c r="AP76" i="14"/>
  <c r="AP77" i="14"/>
  <c r="AB72" i="14"/>
  <c r="AB77" i="14"/>
  <c r="AB73" i="14"/>
  <c r="AB76" i="14"/>
  <c r="AB75" i="14"/>
  <c r="AB74" i="14"/>
  <c r="Z71" i="14"/>
  <c r="Z73" i="14"/>
  <c r="Z74" i="14"/>
  <c r="Z72" i="14"/>
  <c r="Z77" i="14"/>
  <c r="Z76" i="14"/>
  <c r="Z75" i="14"/>
  <c r="AP69" i="14"/>
  <c r="AB70" i="14"/>
  <c r="AB71" i="14"/>
  <c r="Z70" i="14"/>
  <c r="AP64" i="14"/>
  <c r="AB69" i="14"/>
  <c r="AB67" i="14"/>
  <c r="AB68" i="14"/>
  <c r="Z68" i="14"/>
  <c r="Z69" i="14"/>
  <c r="Z67" i="14"/>
  <c r="AP63" i="14"/>
  <c r="AB64" i="14"/>
  <c r="AB65" i="14"/>
  <c r="AB63" i="14"/>
  <c r="AB66" i="14"/>
  <c r="AP62" i="14"/>
  <c r="Z64" i="14"/>
  <c r="Z65" i="14"/>
  <c r="Z66" i="14"/>
  <c r="Z63" i="14"/>
  <c r="AB60" i="14"/>
  <c r="AB61" i="14"/>
  <c r="AB62" i="14"/>
  <c r="Z62" i="14"/>
  <c r="Z61" i="14"/>
  <c r="Z60" i="14"/>
  <c r="Z59" i="14"/>
  <c r="Z58" i="14"/>
  <c r="P56" i="14"/>
  <c r="AP56" i="14"/>
  <c r="AB59" i="14"/>
  <c r="AB58" i="14"/>
  <c r="P57" i="14"/>
  <c r="AP57" i="14"/>
  <c r="Z56" i="14"/>
  <c r="Z57" i="14"/>
  <c r="AB56" i="14"/>
  <c r="AB57" i="14"/>
  <c r="AP55" i="14"/>
  <c r="Z55" i="14"/>
  <c r="Z54" i="14"/>
  <c r="Z53" i="14"/>
  <c r="AB53" i="14"/>
  <c r="AB54" i="14"/>
  <c r="AB55" i="14"/>
  <c r="AP49" i="14"/>
  <c r="R52" i="14"/>
  <c r="AP52" i="14"/>
  <c r="AB52" i="14"/>
  <c r="AB51" i="14"/>
  <c r="Z52" i="14"/>
  <c r="Z51" i="14"/>
  <c r="AB49" i="14"/>
  <c r="AB50" i="14"/>
  <c r="Z50" i="14"/>
  <c r="Z49" i="14"/>
  <c r="AP48" i="14"/>
  <c r="AB48" i="14"/>
  <c r="Z48" i="14"/>
  <c r="AB47" i="14"/>
  <c r="Z47" i="14"/>
  <c r="Z46" i="14"/>
  <c r="AB46" i="14"/>
  <c r="AP43" i="14"/>
  <c r="Z45" i="14"/>
  <c r="Z44" i="14"/>
  <c r="AB45" i="14"/>
  <c r="AB44" i="14"/>
  <c r="AP42" i="14"/>
  <c r="Z42" i="14"/>
  <c r="Z43" i="14"/>
  <c r="AB42" i="14"/>
  <c r="AB43" i="14"/>
  <c r="AP41" i="14"/>
  <c r="Z41" i="14"/>
  <c r="AB40" i="14"/>
  <c r="AB41" i="14"/>
  <c r="Z40" i="14"/>
  <c r="AP36" i="14"/>
  <c r="AB36" i="14"/>
  <c r="AB38" i="14"/>
  <c r="AB39" i="14"/>
  <c r="AB37" i="14"/>
  <c r="Z36" i="14"/>
  <c r="Z39" i="14"/>
  <c r="Z38" i="14"/>
  <c r="Z37" i="14"/>
  <c r="AB35" i="14"/>
  <c r="Z35" i="14"/>
  <c r="Z33" i="14"/>
  <c r="Z34" i="14"/>
  <c r="AB33" i="14"/>
  <c r="AB34" i="14"/>
  <c r="AP30" i="14"/>
  <c r="Z30" i="14"/>
  <c r="Z31" i="14"/>
  <c r="Z32" i="14"/>
  <c r="AB32" i="14"/>
  <c r="AB31" i="14"/>
  <c r="AB30" i="14"/>
  <c r="AP29" i="14"/>
  <c r="AB29" i="14"/>
  <c r="Z29" i="14"/>
  <c r="AP28" i="14"/>
  <c r="AB27" i="14"/>
  <c r="AB28" i="14"/>
  <c r="Z28" i="14"/>
  <c r="Z27" i="14"/>
  <c r="AB26" i="14"/>
  <c r="Z26" i="14"/>
  <c r="Z25" i="14"/>
  <c r="AB25" i="14"/>
  <c r="AB24" i="14"/>
  <c r="AB23" i="14"/>
  <c r="AP22" i="14"/>
  <c r="Z23" i="14"/>
  <c r="Z24" i="14"/>
  <c r="Z22" i="14"/>
  <c r="AB22" i="14"/>
  <c r="AP21" i="14"/>
  <c r="Z21" i="14"/>
  <c r="AB21" i="14"/>
  <c r="R20" i="14"/>
  <c r="AP20" i="14"/>
  <c r="R13" i="14"/>
  <c r="Z12" i="14"/>
  <c r="AB14" i="14"/>
  <c r="AB15" i="14"/>
  <c r="AB13" i="14"/>
  <c r="AB17" i="14"/>
  <c r="AB16" i="14"/>
  <c r="Z13" i="14"/>
  <c r="P15" i="14"/>
  <c r="Z16" i="14"/>
  <c r="Z17" i="14"/>
  <c r="P13" i="14"/>
  <c r="Z14" i="14"/>
  <c r="Z15" i="14"/>
  <c r="M12" i="14" l="1"/>
  <c r="Q12" i="14" s="1"/>
  <c r="U12" i="14"/>
  <c r="L12" i="14"/>
  <c r="N12" i="14"/>
  <c r="R12" i="14" s="1"/>
  <c r="AP25" i="14"/>
  <c r="M4" i="14"/>
  <c r="Q4" i="14" s="1"/>
  <c r="N4" i="14"/>
  <c r="R4" i="14" s="1"/>
  <c r="U4" i="14"/>
  <c r="L4" i="14"/>
  <c r="AP34" i="14"/>
  <c r="AN38" i="14"/>
  <c r="AP32" i="14"/>
  <c r="AP75" i="14"/>
  <c r="AN79" i="14"/>
  <c r="AP47" i="14"/>
  <c r="AN51" i="14"/>
  <c r="AP54" i="14"/>
  <c r="AN58" i="14"/>
  <c r="AP83" i="14"/>
  <c r="AN87" i="14"/>
  <c r="AP95" i="14"/>
  <c r="AP40" i="14"/>
  <c r="AN44" i="14"/>
  <c r="AP53" i="14"/>
  <c r="AP88" i="14"/>
  <c r="AP19" i="14"/>
  <c r="AN23" i="14"/>
  <c r="AP26" i="14"/>
  <c r="AP46" i="14"/>
  <c r="AP67" i="14"/>
  <c r="AP81" i="14"/>
  <c r="AP27" i="14"/>
  <c r="AN31" i="14"/>
  <c r="AP33" i="14"/>
  <c r="AP68" i="14"/>
  <c r="AN72" i="14"/>
  <c r="AP96" i="14"/>
  <c r="AP39" i="14"/>
  <c r="AN43" i="14"/>
  <c r="AP60" i="14"/>
  <c r="AP61" i="14"/>
  <c r="AN65" i="14"/>
  <c r="AP82" i="14"/>
  <c r="AP74" i="14"/>
  <c r="AP17" i="14"/>
  <c r="AP15" i="14"/>
  <c r="AP13" i="14"/>
  <c r="AN17" i="14"/>
  <c r="AP14" i="14"/>
  <c r="AN16" i="14"/>
  <c r="AN15" i="14"/>
  <c r="AN14" i="14"/>
  <c r="AP12" i="14"/>
  <c r="AN13" i="14"/>
  <c r="AN12" i="14"/>
  <c r="AK4" i="14"/>
  <c r="AK5" i="14" s="1"/>
  <c r="AK6" i="14" s="1"/>
  <c r="AK7" i="14" s="1"/>
  <c r="AN8" i="14"/>
  <c r="AP4" i="14"/>
  <c r="AN7" i="14"/>
  <c r="AO7" i="14"/>
  <c r="AZ13" i="14"/>
  <c r="BA96" i="14"/>
  <c r="BA92" i="14"/>
  <c r="BB70" i="14"/>
  <c r="BB19" i="14"/>
  <c r="BA76" i="14"/>
  <c r="BB18" i="14"/>
  <c r="BB90" i="14"/>
  <c r="BB13" i="14"/>
  <c r="BA88" i="14"/>
  <c r="BB79" i="14"/>
  <c r="BB16" i="14"/>
  <c r="BA83" i="14"/>
  <c r="BA89" i="14"/>
  <c r="BB23" i="14"/>
  <c r="BB24" i="14"/>
  <c r="BA77" i="14"/>
  <c r="BB92" i="14"/>
  <c r="BB17" i="14"/>
  <c r="BB62" i="14"/>
  <c r="BA87" i="14"/>
  <c r="BA85" i="14"/>
  <c r="BA79" i="14"/>
  <c r="BA80" i="14"/>
  <c r="BB34" i="14"/>
  <c r="BA90" i="14"/>
  <c r="BA82" i="14"/>
  <c r="BB69" i="14"/>
  <c r="BB77" i="14"/>
  <c r="BB46" i="14"/>
  <c r="BA93" i="14"/>
  <c r="BB55" i="14"/>
  <c r="BA91" i="14"/>
  <c r="BA86" i="14"/>
  <c r="BB63" i="14"/>
  <c r="BB51" i="14"/>
  <c r="BB68" i="14"/>
  <c r="BB36" i="14"/>
  <c r="BB40" i="14"/>
  <c r="BB20" i="14"/>
  <c r="BB86" i="14"/>
  <c r="BB31" i="14"/>
  <c r="BB95" i="14"/>
  <c r="BB25" i="14"/>
  <c r="BA95" i="14"/>
  <c r="BB96" i="14"/>
  <c r="BB81" i="14"/>
  <c r="BB14" i="14"/>
  <c r="BB72" i="14"/>
  <c r="BB44" i="14"/>
  <c r="BB93" i="14"/>
  <c r="BB21" i="14"/>
  <c r="BB84" i="14"/>
  <c r="BB42" i="14"/>
  <c r="BB28" i="14"/>
  <c r="BA78" i="14"/>
  <c r="BA94" i="14"/>
  <c r="BB65" i="14"/>
  <c r="BB64" i="14"/>
  <c r="BB58" i="14"/>
  <c r="BB76" i="14"/>
  <c r="BB91" i="14"/>
  <c r="BB71" i="14"/>
  <c r="BB89" i="14"/>
  <c r="BB15" i="14"/>
  <c r="BA84" i="14"/>
  <c r="BB80" i="14"/>
  <c r="BB94" i="14"/>
  <c r="BB45" i="14"/>
  <c r="BB35" i="14"/>
  <c r="BB54" i="14"/>
  <c r="BB22" i="14"/>
  <c r="BB67" i="14"/>
  <c r="BB87" i="14"/>
  <c r="BB43" i="14"/>
  <c r="BB57" i="14"/>
  <c r="BB66" i="14"/>
  <c r="BB88" i="14"/>
  <c r="BA81" i="14"/>
  <c r="BB75" i="14"/>
  <c r="BB29" i="14"/>
  <c r="BB41" i="14"/>
  <c r="BB48" i="14"/>
  <c r="BB59" i="14"/>
  <c r="BB39" i="14"/>
  <c r="BB82" i="14"/>
  <c r="BB74" i="14"/>
  <c r="BB53" i="14"/>
  <c r="BB27" i="14"/>
  <c r="BB60" i="14"/>
  <c r="BB73" i="14"/>
  <c r="BB83" i="14"/>
  <c r="BB32" i="14"/>
  <c r="BB49" i="14"/>
  <c r="BB56" i="14"/>
  <c r="BB37" i="14"/>
  <c r="BB30" i="14"/>
  <c r="AO74" i="14"/>
  <c r="BB50" i="14"/>
  <c r="BB61" i="14"/>
  <c r="BB33" i="14"/>
  <c r="BB78" i="14"/>
  <c r="BB52" i="14"/>
  <c r="BB38" i="14"/>
  <c r="BB26" i="14"/>
  <c r="BB85" i="14"/>
  <c r="BB47" i="14"/>
  <c r="AZ16" i="14"/>
  <c r="AZ17" i="14"/>
  <c r="AZ15" i="14"/>
  <c r="AZ14" i="14"/>
  <c r="AO96" i="14"/>
  <c r="AG94" i="14"/>
  <c r="AG93" i="14"/>
  <c r="AG92" i="14"/>
  <c r="AG95" i="14"/>
  <c r="AG96" i="14"/>
  <c r="AO95" i="14"/>
  <c r="AO94" i="14"/>
  <c r="AO93" i="14"/>
  <c r="AO92" i="14"/>
  <c r="AG77" i="14"/>
  <c r="AO89" i="14"/>
  <c r="AO91" i="14"/>
  <c r="AO90" i="14"/>
  <c r="AG4" i="14"/>
  <c r="AG15" i="14"/>
  <c r="AG34" i="14"/>
  <c r="AG43" i="14"/>
  <c r="AG46" i="14"/>
  <c r="AG52" i="14"/>
  <c r="AG59" i="14"/>
  <c r="AG65" i="14"/>
  <c r="AG75" i="14"/>
  <c r="AG10" i="14"/>
  <c r="AG6" i="14"/>
  <c r="AG8" i="14"/>
  <c r="AG14" i="14"/>
  <c r="AG29" i="14"/>
  <c r="AG32" i="14"/>
  <c r="AG33" i="14"/>
  <c r="AG42" i="14"/>
  <c r="AG64" i="14"/>
  <c r="AG76" i="14"/>
  <c r="AG82" i="14"/>
  <c r="AG9" i="14"/>
  <c r="AG27" i="14"/>
  <c r="AG31" i="14"/>
  <c r="AG44" i="14"/>
  <c r="AG61" i="14"/>
  <c r="AG70" i="14"/>
  <c r="AG79" i="14"/>
  <c r="AG83" i="14"/>
  <c r="AG88" i="14"/>
  <c r="AG7" i="14"/>
  <c r="AG11" i="14"/>
  <c r="AG26" i="14"/>
  <c r="AG30" i="14"/>
  <c r="AG37" i="14"/>
  <c r="AG45" i="14"/>
  <c r="AG53" i="14"/>
  <c r="AG62" i="14"/>
  <c r="AG67" i="14"/>
  <c r="AG72" i="14"/>
  <c r="AG81" i="14"/>
  <c r="AG84" i="14"/>
  <c r="AG85" i="14"/>
  <c r="AG87" i="14"/>
  <c r="AG89" i="14"/>
  <c r="AG21" i="14"/>
  <c r="AG25" i="14"/>
  <c r="AG38" i="14"/>
  <c r="AG41" i="14"/>
  <c r="AG47" i="14"/>
  <c r="AG54" i="14"/>
  <c r="AG60" i="14"/>
  <c r="AG69" i="14"/>
  <c r="AG74" i="14"/>
  <c r="AG80" i="14"/>
  <c r="AG86" i="14"/>
  <c r="AG12" i="14"/>
  <c r="AG24" i="14"/>
  <c r="AG35" i="14"/>
  <c r="AG39" i="14"/>
  <c r="AG55" i="14"/>
  <c r="AG57" i="14"/>
  <c r="AG68" i="14"/>
  <c r="AG73" i="14"/>
  <c r="AG78" i="14"/>
  <c r="AG90" i="14"/>
  <c r="AG91" i="14"/>
  <c r="AG5" i="14"/>
  <c r="AG13" i="14"/>
  <c r="AG17" i="14"/>
  <c r="AG22" i="14"/>
  <c r="AG23" i="14"/>
  <c r="AG28" i="14"/>
  <c r="AG36" i="14"/>
  <c r="AG48" i="14"/>
  <c r="AG49" i="14"/>
  <c r="AG56" i="14"/>
  <c r="AG63" i="14"/>
  <c r="AG71" i="14"/>
  <c r="AG16" i="14"/>
  <c r="AG40" i="14"/>
  <c r="AG50" i="14"/>
  <c r="AG51" i="14"/>
  <c r="AG58" i="14"/>
  <c r="AG66" i="14"/>
  <c r="AO75" i="14"/>
  <c r="AO88" i="14"/>
  <c r="AO87" i="14"/>
  <c r="AO86" i="14"/>
  <c r="AO85" i="14"/>
  <c r="AO82" i="14"/>
  <c r="AO84" i="14"/>
  <c r="AO83" i="14"/>
  <c r="AO81" i="14"/>
  <c r="AO80" i="14"/>
  <c r="AO78" i="14"/>
  <c r="AO79" i="14"/>
  <c r="AO77" i="14"/>
  <c r="AO76" i="14"/>
  <c r="AO73" i="14"/>
  <c r="AO72" i="14"/>
  <c r="AO71" i="14"/>
  <c r="AO68" i="14"/>
  <c r="AO70" i="14"/>
  <c r="AO69" i="14"/>
  <c r="AO67" i="14"/>
  <c r="AO64" i="14"/>
  <c r="AO63" i="14"/>
  <c r="AO65" i="14"/>
  <c r="AO66" i="14"/>
  <c r="AO62" i="14"/>
  <c r="AO61" i="14"/>
  <c r="AO60" i="14"/>
  <c r="AO59" i="14"/>
  <c r="AO58" i="14"/>
  <c r="AO56" i="14"/>
  <c r="AO57" i="14"/>
  <c r="AO53" i="14"/>
  <c r="AO55" i="14"/>
  <c r="AO54" i="14"/>
  <c r="AO51" i="14"/>
  <c r="AO52" i="14"/>
  <c r="AO50" i="14"/>
  <c r="AO49" i="14"/>
  <c r="AO48" i="14"/>
  <c r="AO47" i="14"/>
  <c r="AO46" i="14"/>
  <c r="AO32" i="14"/>
  <c r="AO8" i="14"/>
  <c r="AO26" i="14"/>
  <c r="AO38" i="14"/>
  <c r="AO43" i="14"/>
  <c r="AO42" i="14"/>
  <c r="AO41" i="14"/>
  <c r="AO29" i="14"/>
  <c r="AO27" i="14"/>
  <c r="AO28" i="14"/>
  <c r="AO40" i="14"/>
  <c r="AO25" i="14"/>
  <c r="AO36" i="14"/>
  <c r="AO35" i="14"/>
  <c r="AO16" i="14"/>
  <c r="AO12" i="14"/>
  <c r="AO15" i="14"/>
  <c r="AO14" i="14"/>
  <c r="AO13" i="14"/>
  <c r="AO17" i="14"/>
  <c r="AO34" i="14"/>
  <c r="AO45" i="14"/>
  <c r="AO22" i="14"/>
  <c r="AO23" i="14"/>
  <c r="AO30" i="14"/>
  <c r="AO39" i="14"/>
  <c r="AO24" i="14"/>
  <c r="AO31" i="14"/>
  <c r="AO33" i="14"/>
  <c r="AO37" i="14"/>
  <c r="AO44" i="14"/>
  <c r="AQ7" i="14" l="1"/>
  <c r="AK8" i="14"/>
  <c r="AQ8" i="14" s="1"/>
  <c r="AN86" i="14"/>
  <c r="AN78" i="14"/>
  <c r="AN74" i="14"/>
  <c r="AN77" i="14"/>
  <c r="AN75" i="14"/>
  <c r="AN76" i="14"/>
  <c r="AN64" i="14"/>
  <c r="AN84" i="14"/>
  <c r="AN83" i="14"/>
  <c r="AN82" i="14"/>
  <c r="AN85" i="14"/>
  <c r="AN81" i="14"/>
  <c r="AN57" i="14"/>
  <c r="AN69" i="14"/>
  <c r="AN67" i="14"/>
  <c r="AN68" i="14"/>
  <c r="AN71" i="14"/>
  <c r="AN70" i="14"/>
  <c r="AN37" i="14"/>
  <c r="AN96" i="14"/>
  <c r="AN95" i="14"/>
  <c r="AN88" i="14"/>
  <c r="AN91" i="14"/>
  <c r="AN92" i="14"/>
  <c r="AN90" i="14"/>
  <c r="AN89" i="14"/>
  <c r="AN62" i="14"/>
  <c r="AN63" i="14"/>
  <c r="AN61" i="14"/>
  <c r="AN60" i="14"/>
  <c r="AN55" i="14"/>
  <c r="AN56" i="14"/>
  <c r="AN54" i="14"/>
  <c r="AN53" i="14"/>
  <c r="AN49" i="14"/>
  <c r="AN50" i="14"/>
  <c r="AN47" i="14"/>
  <c r="AN48" i="14"/>
  <c r="AN46" i="14"/>
  <c r="AN41" i="14"/>
  <c r="AN42" i="14"/>
  <c r="AN39" i="14"/>
  <c r="AN40" i="14"/>
  <c r="AN36" i="14"/>
  <c r="AN35" i="14"/>
  <c r="AN34" i="14"/>
  <c r="AN32" i="14"/>
  <c r="AN33" i="14"/>
  <c r="AN29" i="14"/>
  <c r="AN30" i="14"/>
  <c r="AN28" i="14"/>
  <c r="AN25" i="14"/>
  <c r="AN27" i="14"/>
  <c r="AN26" i="14"/>
  <c r="M68" i="14"/>
  <c r="Q68" i="14" s="1"/>
  <c r="N68" i="14"/>
  <c r="R68" i="14" s="1"/>
  <c r="L68" i="14"/>
  <c r="P68" i="14" s="1"/>
  <c r="U68" i="14"/>
  <c r="M67" i="14"/>
  <c r="Q67" i="14" s="1"/>
  <c r="N67" i="14"/>
  <c r="R67" i="14" s="1"/>
  <c r="L67" i="14"/>
  <c r="P67" i="14" s="1"/>
  <c r="U67" i="14"/>
  <c r="M88" i="14"/>
  <c r="Q88" i="14" s="1"/>
  <c r="L88" i="14"/>
  <c r="U88" i="14"/>
  <c r="N88" i="14"/>
  <c r="R88" i="14" s="1"/>
  <c r="M83" i="14"/>
  <c r="Q83" i="14" s="1"/>
  <c r="N83" i="14"/>
  <c r="R83" i="14" s="1"/>
  <c r="U83" i="14"/>
  <c r="L83" i="14"/>
  <c r="M32" i="14"/>
  <c r="Q32" i="14" s="1"/>
  <c r="N32" i="14"/>
  <c r="R32" i="14" s="1"/>
  <c r="L32" i="14"/>
  <c r="P32" i="14" s="1"/>
  <c r="U32" i="14"/>
  <c r="M60" i="14"/>
  <c r="Q60" i="14" s="1"/>
  <c r="L60" i="14"/>
  <c r="U60" i="14"/>
  <c r="N60" i="14"/>
  <c r="R60" i="14" s="1"/>
  <c r="M25" i="14"/>
  <c r="Q25" i="14" s="1"/>
  <c r="N25" i="14"/>
  <c r="R25" i="14" s="1"/>
  <c r="L25" i="14"/>
  <c r="P25" i="14" s="1"/>
  <c r="U25" i="14"/>
  <c r="M33" i="14"/>
  <c r="Q33" i="14" s="1"/>
  <c r="L33" i="14"/>
  <c r="P33" i="14" s="1"/>
  <c r="N33" i="14"/>
  <c r="R33" i="14" s="1"/>
  <c r="U33" i="14"/>
  <c r="M46" i="14"/>
  <c r="Q46" i="14" s="1"/>
  <c r="U46" i="14"/>
  <c r="N46" i="14"/>
  <c r="R46" i="14" s="1"/>
  <c r="L46" i="14"/>
  <c r="P46" i="14" s="1"/>
  <c r="M53" i="14"/>
  <c r="Q53" i="14" s="1"/>
  <c r="N53" i="14"/>
  <c r="R53" i="14" s="1"/>
  <c r="L53" i="14"/>
  <c r="P53" i="14" s="1"/>
  <c r="U53" i="14"/>
  <c r="M54" i="14"/>
  <c r="Q54" i="14" s="1"/>
  <c r="L54" i="14"/>
  <c r="P54" i="14" s="1"/>
  <c r="N54" i="14"/>
  <c r="R54" i="14" s="1"/>
  <c r="U54" i="14"/>
  <c r="M34" i="14"/>
  <c r="Q34" i="14" s="1"/>
  <c r="N34" i="14"/>
  <c r="R34" i="14" s="1"/>
  <c r="U34" i="14"/>
  <c r="L34" i="14"/>
  <c r="M74" i="14"/>
  <c r="Q74" i="14" s="1"/>
  <c r="U74" i="14"/>
  <c r="L74" i="14"/>
  <c r="N74" i="14"/>
  <c r="R74" i="14" s="1"/>
  <c r="M39" i="14"/>
  <c r="Q39" i="14" s="1"/>
  <c r="U39" i="14"/>
  <c r="L39" i="14"/>
  <c r="P39" i="14" s="1"/>
  <c r="N39" i="14"/>
  <c r="R39" i="14" s="1"/>
  <c r="M27" i="14"/>
  <c r="Q27" i="14" s="1"/>
  <c r="N27" i="14"/>
  <c r="R27" i="14" s="1"/>
  <c r="L27" i="14"/>
  <c r="U27" i="14"/>
  <c r="M26" i="14"/>
  <c r="Q26" i="14" s="1"/>
  <c r="U26" i="14"/>
  <c r="N26" i="14"/>
  <c r="R26" i="14" s="1"/>
  <c r="L26" i="14"/>
  <c r="P26" i="14" s="1"/>
  <c r="M40" i="14"/>
  <c r="Q40" i="14" s="1"/>
  <c r="N40" i="14"/>
  <c r="R40" i="14" s="1"/>
  <c r="U40" i="14"/>
  <c r="L40" i="14"/>
  <c r="M47" i="14"/>
  <c r="Q47" i="14" s="1"/>
  <c r="L47" i="14"/>
  <c r="P47" i="14" s="1"/>
  <c r="N47" i="14"/>
  <c r="R47" i="14" s="1"/>
  <c r="U47" i="14"/>
  <c r="P4" i="14"/>
  <c r="AE4" i="14"/>
  <c r="AJ4" i="14" s="1"/>
  <c r="AJ5" i="14" s="1"/>
  <c r="AJ6" i="14" s="1"/>
  <c r="AJ7" i="14" s="1"/>
  <c r="AJ8" i="14" s="1"/>
  <c r="AJ9" i="14" s="1"/>
  <c r="AJ10" i="14" s="1"/>
  <c r="AJ11" i="14" s="1"/>
  <c r="M82" i="14"/>
  <c r="Q82" i="14" s="1"/>
  <c r="L82" i="14"/>
  <c r="N82" i="14"/>
  <c r="R82" i="14" s="1"/>
  <c r="U82" i="14"/>
  <c r="AE12" i="14"/>
  <c r="P12" i="14"/>
  <c r="M96" i="14"/>
  <c r="Q96" i="14" s="1"/>
  <c r="U96" i="14"/>
  <c r="N96" i="14"/>
  <c r="R96" i="14" s="1"/>
  <c r="L96" i="14"/>
  <c r="P96" i="14" s="1"/>
  <c r="M81" i="14"/>
  <c r="Q81" i="14" s="1"/>
  <c r="L81" i="14"/>
  <c r="U81" i="14"/>
  <c r="N81" i="14"/>
  <c r="R81" i="14" s="1"/>
  <c r="M19" i="14"/>
  <c r="Q19" i="14" s="1"/>
  <c r="N19" i="14"/>
  <c r="R19" i="14" s="1"/>
  <c r="L19" i="14"/>
  <c r="U19" i="14"/>
  <c r="M95" i="14"/>
  <c r="Q95" i="14" s="1"/>
  <c r="N95" i="14"/>
  <c r="R95" i="14" s="1"/>
  <c r="L95" i="14"/>
  <c r="P95" i="14" s="1"/>
  <c r="U95" i="14"/>
  <c r="M75" i="14"/>
  <c r="Q75" i="14" s="1"/>
  <c r="N75" i="14"/>
  <c r="R75" i="14" s="1"/>
  <c r="L75" i="14"/>
  <c r="U75" i="14"/>
  <c r="M61" i="14"/>
  <c r="Q61" i="14" s="1"/>
  <c r="N61" i="14"/>
  <c r="R61" i="14" s="1"/>
  <c r="L61" i="14"/>
  <c r="U61" i="14"/>
  <c r="AR4" i="14"/>
  <c r="AS4" i="14" s="1"/>
  <c r="AR5" i="14"/>
  <c r="AS5" i="14" s="1"/>
  <c r="AK9" i="14" l="1"/>
  <c r="AQ9" i="14" s="1"/>
  <c r="AE47" i="14"/>
  <c r="P61" i="14"/>
  <c r="AE61" i="14"/>
  <c r="AE96" i="14"/>
  <c r="AE26" i="14"/>
  <c r="P82" i="14"/>
  <c r="AE82" i="14"/>
  <c r="AE39" i="14"/>
  <c r="P74" i="14"/>
  <c r="AE74" i="14"/>
  <c r="AE25" i="14"/>
  <c r="AE95" i="14"/>
  <c r="AE53" i="14"/>
  <c r="P88" i="14"/>
  <c r="AE88" i="14"/>
  <c r="AE68" i="14"/>
  <c r="P34" i="14"/>
  <c r="AE34" i="14"/>
  <c r="P40" i="14"/>
  <c r="AE40" i="14"/>
  <c r="AE46" i="14"/>
  <c r="P27" i="14"/>
  <c r="AE27" i="14"/>
  <c r="P75" i="14"/>
  <c r="AE75" i="14"/>
  <c r="AJ12" i="14"/>
  <c r="AJ13" i="14" s="1"/>
  <c r="AJ14" i="14" s="1"/>
  <c r="AJ15" i="14" s="1"/>
  <c r="AJ16" i="14" s="1"/>
  <c r="AJ17" i="14" s="1"/>
  <c r="AE54" i="14"/>
  <c r="P60" i="14"/>
  <c r="AE60" i="14"/>
  <c r="P83" i="14"/>
  <c r="AE83" i="14"/>
  <c r="AE67" i="14"/>
  <c r="P19" i="14"/>
  <c r="AE19" i="14"/>
  <c r="P81" i="14"/>
  <c r="AE81" i="14"/>
  <c r="AE32" i="14"/>
  <c r="AE33" i="14"/>
  <c r="AR6" i="14"/>
  <c r="AS6" i="14" s="1"/>
  <c r="AK10" i="14" l="1"/>
  <c r="AQ10" i="14" s="1"/>
  <c r="AR7" i="14"/>
  <c r="AS7" i="14" s="1"/>
  <c r="AK11" i="14" l="1"/>
  <c r="AQ11" i="14" s="1"/>
  <c r="AR8" i="14"/>
  <c r="AS8" i="14" s="1"/>
  <c r="P2" i="1"/>
  <c r="AK12" i="14" l="1"/>
  <c r="AQ12" i="14" s="1"/>
  <c r="AR9" i="14"/>
  <c r="AS9" i="14" s="1"/>
  <c r="AK13" i="14" l="1"/>
  <c r="AQ13" i="14" s="1"/>
  <c r="AR10" i="14"/>
  <c r="AS10" i="14" s="1"/>
  <c r="AK14" i="14" l="1"/>
  <c r="AQ14" i="14" s="1"/>
  <c r="AR11" i="14"/>
  <c r="AS11" i="14" s="1"/>
  <c r="AK15" i="14" l="1"/>
  <c r="AQ15" i="14" s="1"/>
  <c r="AR12" i="14"/>
  <c r="AS12" i="14" s="1"/>
  <c r="AK16" i="14" l="1"/>
  <c r="AQ16" i="14" s="1"/>
  <c r="AR13" i="14"/>
  <c r="AS13" i="14" s="1"/>
  <c r="AK17" i="14" l="1"/>
  <c r="AQ17" i="14" s="1"/>
  <c r="AR14" i="14"/>
  <c r="AS14" i="14" s="1"/>
  <c r="AR15" i="14" l="1"/>
  <c r="AS15" i="14" s="1"/>
  <c r="AR16" i="14" l="1"/>
  <c r="AS16" i="14" s="1"/>
  <c r="AR17" i="14" l="1"/>
  <c r="AS17" i="14" s="1"/>
  <c r="Z20" i="14" l="1"/>
  <c r="Z19" i="14"/>
  <c r="Z18" i="14"/>
  <c r="AB19" i="14"/>
  <c r="AB20" i="14"/>
  <c r="AB18" i="14"/>
  <c r="AA18" i="14"/>
  <c r="AA19" i="14"/>
  <c r="AA20" i="14"/>
  <c r="AV18" i="14"/>
  <c r="AZ87" i="14" l="1"/>
  <c r="AZ78" i="14"/>
  <c r="AZ91" i="14"/>
  <c r="AZ92" i="14"/>
  <c r="AZ85" i="14"/>
  <c r="AZ84" i="14"/>
  <c r="AZ66" i="14"/>
  <c r="AZ72" i="14"/>
  <c r="AZ81" i="14"/>
  <c r="AZ76" i="14"/>
  <c r="AZ86" i="14"/>
  <c r="AZ95" i="14"/>
  <c r="AZ69" i="14"/>
  <c r="AZ93" i="14"/>
  <c r="AZ75" i="14"/>
  <c r="AZ96" i="14"/>
  <c r="AZ83" i="14"/>
  <c r="AZ88" i="14"/>
  <c r="AZ77" i="14"/>
  <c r="AZ94" i="14"/>
  <c r="AZ89" i="14"/>
  <c r="AZ82" i="14"/>
  <c r="AZ71" i="14"/>
  <c r="AZ70" i="14"/>
  <c r="AZ65" i="14"/>
  <c r="AZ67" i="14"/>
  <c r="AZ79" i="14"/>
  <c r="AZ68" i="14"/>
  <c r="AZ80" i="14"/>
  <c r="AZ73" i="14"/>
  <c r="AZ74" i="14"/>
  <c r="AZ90" i="14"/>
  <c r="AZ64" i="14"/>
  <c r="AZ63" i="14"/>
  <c r="AZ62" i="14"/>
  <c r="AZ59" i="14"/>
  <c r="AZ60" i="14"/>
  <c r="AZ61" i="14"/>
  <c r="AZ57" i="14"/>
  <c r="AZ58" i="14"/>
  <c r="AZ55" i="14"/>
  <c r="AZ56" i="14"/>
  <c r="AZ51" i="14"/>
  <c r="AZ54" i="14"/>
  <c r="AZ52" i="14"/>
  <c r="AZ53" i="14"/>
  <c r="AZ49" i="14"/>
  <c r="AZ50" i="14"/>
  <c r="AZ45" i="14"/>
  <c r="AZ46" i="14"/>
  <c r="AZ48" i="14"/>
  <c r="AZ47" i="14"/>
  <c r="AZ43" i="14"/>
  <c r="AZ44" i="14"/>
  <c r="AZ41" i="14"/>
  <c r="AZ42" i="14"/>
  <c r="AZ40" i="14"/>
  <c r="AZ39" i="14"/>
  <c r="AZ38" i="14"/>
  <c r="AZ36" i="14"/>
  <c r="AZ37" i="14"/>
  <c r="AZ30" i="14"/>
  <c r="AZ35" i="14"/>
  <c r="AZ34" i="14"/>
  <c r="AZ32" i="14"/>
  <c r="AZ33" i="14"/>
  <c r="AZ31" i="14"/>
  <c r="AZ27" i="14"/>
  <c r="AZ26" i="14"/>
  <c r="AZ24" i="14"/>
  <c r="AZ28" i="14"/>
  <c r="AZ25" i="14"/>
  <c r="AZ29" i="14"/>
  <c r="AZ21" i="14"/>
  <c r="AZ22" i="14"/>
  <c r="AZ23" i="14"/>
  <c r="AZ20" i="14"/>
  <c r="AZ19" i="14"/>
  <c r="AK18" i="14"/>
  <c r="AO21" i="14"/>
  <c r="AZ18" i="14"/>
  <c r="AG19" i="14"/>
  <c r="AG18" i="14"/>
  <c r="AG20" i="14"/>
  <c r="AP18" i="14"/>
  <c r="AO19" i="14"/>
  <c r="AO20" i="14"/>
  <c r="AO18" i="14"/>
  <c r="AK19" i="14" l="1"/>
  <c r="AN22" i="14"/>
  <c r="N18" i="14"/>
  <c r="R18" i="14" s="1"/>
  <c r="AN21" i="14"/>
  <c r="AN18" i="14"/>
  <c r="AQ18" i="14" s="1"/>
  <c r="M18" i="14"/>
  <c r="Q18" i="14" s="1"/>
  <c r="AN20" i="14"/>
  <c r="AR18" i="14"/>
  <c r="AS18" i="14" s="1"/>
  <c r="L18" i="14"/>
  <c r="P18" i="14" s="1"/>
  <c r="U18" i="14"/>
  <c r="AN19" i="14"/>
  <c r="AR19" i="14" l="1"/>
  <c r="AS19" i="14" s="1"/>
  <c r="AQ19" i="14"/>
  <c r="AK20" i="14"/>
  <c r="AR20" i="14" s="1"/>
  <c r="AS20" i="14" s="1"/>
  <c r="AE18" i="14"/>
  <c r="AJ18" i="14" s="1"/>
  <c r="AJ19" i="14" s="1"/>
  <c r="AJ20" i="14" s="1"/>
  <c r="AJ21" i="14" s="1"/>
  <c r="AJ22" i="14" s="1"/>
  <c r="AJ23" i="14" s="1"/>
  <c r="AJ24" i="14" s="1"/>
  <c r="AJ25" i="14" s="1"/>
  <c r="AJ26" i="14" s="1"/>
  <c r="AJ27" i="14" s="1"/>
  <c r="AJ28" i="14" s="1"/>
  <c r="AJ29" i="14" s="1"/>
  <c r="AJ30" i="14" s="1"/>
  <c r="AJ31" i="14" s="1"/>
  <c r="AJ32" i="14" s="1"/>
  <c r="AJ33" i="14" s="1"/>
  <c r="AJ34" i="14" s="1"/>
  <c r="AJ35" i="14" s="1"/>
  <c r="AJ36" i="14" s="1"/>
  <c r="AJ37" i="14" s="1"/>
  <c r="AJ38" i="14" s="1"/>
  <c r="AJ39" i="14" s="1"/>
  <c r="AJ40" i="14" s="1"/>
  <c r="AJ41" i="14" s="1"/>
  <c r="AJ42" i="14" s="1"/>
  <c r="AJ43" i="14" s="1"/>
  <c r="AJ44" i="14" s="1"/>
  <c r="AJ45" i="14" s="1"/>
  <c r="AJ46" i="14" s="1"/>
  <c r="AJ47" i="14" s="1"/>
  <c r="AJ48" i="14" s="1"/>
  <c r="AJ49" i="14" s="1"/>
  <c r="AJ50" i="14" s="1"/>
  <c r="AJ51" i="14" s="1"/>
  <c r="AJ52" i="14" s="1"/>
  <c r="AJ53" i="14" s="1"/>
  <c r="AJ54" i="14" s="1"/>
  <c r="AJ55" i="14" s="1"/>
  <c r="AJ56" i="14" s="1"/>
  <c r="AJ57" i="14" s="1"/>
  <c r="AJ58" i="14" s="1"/>
  <c r="AJ59" i="14" s="1"/>
  <c r="AJ60" i="14" s="1"/>
  <c r="AJ61" i="14" s="1"/>
  <c r="AJ62" i="14" s="1"/>
  <c r="AJ63" i="14" s="1"/>
  <c r="AJ64" i="14" s="1"/>
  <c r="AJ65" i="14" s="1"/>
  <c r="AJ66" i="14" s="1"/>
  <c r="AJ67" i="14" s="1"/>
  <c r="AJ68" i="14" s="1"/>
  <c r="AJ69" i="14" s="1"/>
  <c r="AJ70" i="14" s="1"/>
  <c r="AJ71" i="14" s="1"/>
  <c r="AJ72" i="14" s="1"/>
  <c r="AJ73" i="14" s="1"/>
  <c r="AJ74" i="14" s="1"/>
  <c r="AJ75" i="14" s="1"/>
  <c r="AJ76" i="14" s="1"/>
  <c r="AJ77" i="14" s="1"/>
  <c r="AJ78" i="14" s="1"/>
  <c r="AJ79" i="14" s="1"/>
  <c r="AJ80" i="14" s="1"/>
  <c r="AJ81" i="14" s="1"/>
  <c r="AJ82" i="14" s="1"/>
  <c r="AJ83" i="14" s="1"/>
  <c r="AJ84" i="14" s="1"/>
  <c r="AJ85" i="14" s="1"/>
  <c r="AJ86" i="14" s="1"/>
  <c r="AJ87" i="14" s="1"/>
  <c r="AJ88" i="14" s="1"/>
  <c r="AJ89" i="14" s="1"/>
  <c r="AJ90" i="14" s="1"/>
  <c r="AJ91" i="14" s="1"/>
  <c r="AJ92" i="14" s="1"/>
  <c r="AJ93" i="14" s="1"/>
  <c r="AJ94" i="14" s="1"/>
  <c r="AJ95" i="14" s="1"/>
  <c r="AJ96" i="14" s="1"/>
  <c r="AK21" i="14" l="1"/>
  <c r="AQ20" i="14"/>
  <c r="AK22" i="14"/>
  <c r="AR21" i="14" l="1"/>
  <c r="AS21" i="14" s="1"/>
  <c r="AQ21" i="14"/>
  <c r="AK23" i="14"/>
  <c r="AR22" i="14"/>
  <c r="AS22" i="14" s="1"/>
  <c r="AQ22" i="14" l="1"/>
  <c r="AQ23" i="14"/>
  <c r="AK24" i="14"/>
  <c r="AK25" i="14" s="1"/>
  <c r="AR23" i="14"/>
  <c r="AS23" i="14" s="1"/>
  <c r="AK26" i="14" l="1"/>
  <c r="AR25" i="14"/>
  <c r="AS25" i="14" s="1"/>
  <c r="AQ24" i="14"/>
  <c r="AQ25" i="14" s="1"/>
  <c r="AR24" i="14"/>
  <c r="AS24" i="14" s="1"/>
  <c r="AQ26" i="14" l="1"/>
  <c r="AK27" i="14"/>
  <c r="AK28" i="14" s="1"/>
  <c r="AR26" i="14"/>
  <c r="AS26" i="14" s="1"/>
  <c r="AK29" i="14" l="1"/>
  <c r="AR28" i="14"/>
  <c r="AS28" i="14" s="1"/>
  <c r="AR27" i="14"/>
  <c r="AS27" i="14" s="1"/>
  <c r="AQ27" i="14"/>
  <c r="AK30" i="14" l="1"/>
  <c r="AR29" i="14"/>
  <c r="AS29" i="14" s="1"/>
  <c r="AQ28" i="14"/>
  <c r="AQ29" i="14" s="1"/>
  <c r="AR30" i="14" l="1"/>
  <c r="AS30" i="14" s="1"/>
  <c r="AK31" i="14"/>
  <c r="AQ30" i="14"/>
  <c r="AR31" i="14" l="1"/>
  <c r="AS31" i="14" s="1"/>
  <c r="AK32" i="14"/>
  <c r="AQ31" i="14"/>
  <c r="AQ32" i="14" s="1"/>
  <c r="AK33" i="14" l="1"/>
  <c r="AR32" i="14"/>
  <c r="AS32" i="14" s="1"/>
  <c r="AK34" i="14" l="1"/>
  <c r="AR33" i="14"/>
  <c r="AS33" i="14" s="1"/>
  <c r="AQ33" i="14"/>
  <c r="AQ34" i="14" l="1"/>
  <c r="AK35" i="14"/>
  <c r="AR34" i="14"/>
  <c r="AS34" i="14" s="1"/>
  <c r="AK36" i="14" l="1"/>
  <c r="AR35" i="14"/>
  <c r="AS35" i="14" s="1"/>
  <c r="AQ35" i="14"/>
  <c r="AQ36" i="14" s="1"/>
  <c r="AK37" i="14" l="1"/>
  <c r="AK38" i="14" s="1"/>
  <c r="AR36" i="14"/>
  <c r="AS36" i="14" s="1"/>
  <c r="AK39" i="14" l="1"/>
  <c r="AR38" i="14"/>
  <c r="AS38" i="14" s="1"/>
  <c r="AR37" i="14"/>
  <c r="AS37" i="14" s="1"/>
  <c r="AQ37" i="14"/>
  <c r="AK40" i="14" l="1"/>
  <c r="AR39" i="14"/>
  <c r="AS39" i="14" s="1"/>
  <c r="AQ38" i="14"/>
  <c r="AQ39" i="14" s="1"/>
  <c r="AQ40" i="14" s="1"/>
  <c r="AK41" i="14" l="1"/>
  <c r="AR40" i="14"/>
  <c r="AS40" i="14" s="1"/>
  <c r="AR41" i="14" l="1"/>
  <c r="AS41" i="14" s="1"/>
  <c r="AK42" i="14"/>
  <c r="AQ41" i="14"/>
  <c r="AQ42" i="14" l="1"/>
  <c r="AK43" i="14"/>
  <c r="AR42" i="14"/>
  <c r="AS42" i="14" s="1"/>
  <c r="AK44" i="14" l="1"/>
  <c r="AR43" i="14"/>
  <c r="AS43" i="14" s="1"/>
  <c r="AQ43" i="14"/>
  <c r="AQ44" i="14" s="1"/>
  <c r="AR44" i="14" l="1"/>
  <c r="AS44" i="14" s="1"/>
  <c r="AK45" i="14"/>
  <c r="AK46" i="14" l="1"/>
  <c r="AR45" i="14"/>
  <c r="AS45" i="14" s="1"/>
  <c r="AQ45" i="14"/>
  <c r="AK72" i="14"/>
  <c r="AQ46" i="14" l="1"/>
  <c r="AK47" i="14"/>
  <c r="AR46" i="14"/>
  <c r="AS46" i="14" s="1"/>
  <c r="AK73" i="14"/>
  <c r="AR72" i="14"/>
  <c r="AS72" i="14" s="1"/>
  <c r="AK48" i="14" l="1"/>
  <c r="AR47" i="14"/>
  <c r="AS47" i="14" s="1"/>
  <c r="AQ47" i="14"/>
  <c r="AQ48" i="14" s="1"/>
  <c r="AK74" i="14"/>
  <c r="AR73" i="14"/>
  <c r="AS73" i="14" s="1"/>
  <c r="AR48" i="14" l="1"/>
  <c r="AS48" i="14" s="1"/>
  <c r="AK49" i="14"/>
  <c r="AK75" i="14"/>
  <c r="AR74" i="14"/>
  <c r="AS74" i="14" s="1"/>
  <c r="AR49" i="14" l="1"/>
  <c r="AS49" i="14" s="1"/>
  <c r="AK50" i="14"/>
  <c r="AQ49" i="14"/>
  <c r="AQ50" i="14" s="1"/>
  <c r="AK76" i="14"/>
  <c r="AR75" i="14"/>
  <c r="AS75" i="14" s="1"/>
  <c r="AK51" i="14" l="1"/>
  <c r="AR50" i="14"/>
  <c r="AS50" i="14" s="1"/>
  <c r="AK77" i="14"/>
  <c r="AR76" i="14"/>
  <c r="AS76" i="14" s="1"/>
  <c r="AK52" i="14" l="1"/>
  <c r="AR51" i="14"/>
  <c r="AS51" i="14" s="1"/>
  <c r="AQ51" i="14"/>
  <c r="AK78" i="14"/>
  <c r="AR77" i="14"/>
  <c r="AS77" i="14" s="1"/>
  <c r="AQ52" i="14" l="1"/>
  <c r="AK53" i="14"/>
  <c r="AR52" i="14"/>
  <c r="AS52" i="14" s="1"/>
  <c r="AK79" i="14"/>
  <c r="AR78" i="14"/>
  <c r="AS78" i="14" s="1"/>
  <c r="AK54" i="14" l="1"/>
  <c r="AQ53" i="14"/>
  <c r="AR53" i="14"/>
  <c r="AS53" i="14" s="1"/>
  <c r="AK80" i="14"/>
  <c r="AR79" i="14"/>
  <c r="AS79" i="14" s="1"/>
  <c r="AR54" i="14" l="1"/>
  <c r="AS54" i="14" s="1"/>
  <c r="AK55" i="14"/>
  <c r="AQ54" i="14"/>
  <c r="AQ55" i="14" s="1"/>
  <c r="AK81" i="14"/>
  <c r="AR80" i="14"/>
  <c r="AS80" i="14" s="1"/>
  <c r="AK56" i="14" l="1"/>
  <c r="AQ56" i="14" s="1"/>
  <c r="AR55" i="14"/>
  <c r="AS55" i="14" s="1"/>
  <c r="AK82" i="14"/>
  <c r="AR81" i="14"/>
  <c r="AS81" i="14" s="1"/>
  <c r="AR56" i="14" l="1"/>
  <c r="AS56" i="14" s="1"/>
  <c r="AK57" i="14"/>
  <c r="AK83" i="14"/>
  <c r="AR82" i="14"/>
  <c r="AS82" i="14" s="1"/>
  <c r="AK58" i="14" l="1"/>
  <c r="AR57" i="14"/>
  <c r="AS57" i="14" s="1"/>
  <c r="AQ57" i="14"/>
  <c r="AQ58" i="14" s="1"/>
  <c r="AK84" i="14"/>
  <c r="AR83" i="14"/>
  <c r="AS83" i="14" s="1"/>
  <c r="AK59" i="14" l="1"/>
  <c r="AR58" i="14"/>
  <c r="AS58" i="14" s="1"/>
  <c r="AK85" i="14"/>
  <c r="AR84" i="14"/>
  <c r="AS84" i="14" s="1"/>
  <c r="AQ59" i="14" l="1"/>
  <c r="AK60" i="14"/>
  <c r="AR59" i="14"/>
  <c r="AS59" i="14" s="1"/>
  <c r="AK86" i="14"/>
  <c r="AR85" i="14"/>
  <c r="AS85" i="14" s="1"/>
  <c r="AQ60" i="14" l="1"/>
  <c r="AK61" i="14"/>
  <c r="AR60" i="14"/>
  <c r="AS60" i="14" s="1"/>
  <c r="AK87" i="14"/>
  <c r="AR86" i="14"/>
  <c r="AS86" i="14" s="1"/>
  <c r="AQ61" i="14" l="1"/>
  <c r="AK62" i="14"/>
  <c r="AR61" i="14"/>
  <c r="AS61" i="14" s="1"/>
  <c r="AK88" i="14"/>
  <c r="AR87" i="14"/>
  <c r="AS87" i="14" s="1"/>
  <c r="AK63" i="14" l="1"/>
  <c r="AR62" i="14"/>
  <c r="AS62" i="14" s="1"/>
  <c r="AQ62" i="14"/>
  <c r="AQ63" i="14" s="1"/>
  <c r="AK89" i="14"/>
  <c r="AR88" i="14"/>
  <c r="AS88" i="14" s="1"/>
  <c r="AK64" i="14" l="1"/>
  <c r="AR63" i="14"/>
  <c r="AS63" i="14" s="1"/>
  <c r="AK90" i="14"/>
  <c r="AR89" i="14"/>
  <c r="AS89" i="14" s="1"/>
  <c r="AK65" i="14" l="1"/>
  <c r="AR64" i="14"/>
  <c r="AS64" i="14" s="1"/>
  <c r="AQ64" i="14"/>
  <c r="AK91" i="14"/>
  <c r="AR90" i="14"/>
  <c r="AS90" i="14" s="1"/>
  <c r="AQ65" i="14" l="1"/>
  <c r="AK66" i="14"/>
  <c r="AR65" i="14"/>
  <c r="AS65" i="14" s="1"/>
  <c r="AK92" i="14"/>
  <c r="AR91" i="14"/>
  <c r="AS91" i="14" s="1"/>
  <c r="AK67" i="14" l="1"/>
  <c r="AR66" i="14"/>
  <c r="AS66" i="14" s="1"/>
  <c r="AQ66" i="14"/>
  <c r="AK93" i="14"/>
  <c r="AR92" i="14"/>
  <c r="AS92" i="14" s="1"/>
  <c r="AQ67" i="14" l="1"/>
  <c r="AR67" i="14"/>
  <c r="AS67" i="14" s="1"/>
  <c r="AK68" i="14"/>
  <c r="AK94" i="14"/>
  <c r="AR93" i="14"/>
  <c r="AS93" i="14" s="1"/>
  <c r="AK69" i="14" l="1"/>
  <c r="AR68" i="14"/>
  <c r="AS68" i="14" s="1"/>
  <c r="AQ68" i="14"/>
  <c r="AK95" i="14"/>
  <c r="AR94" i="14"/>
  <c r="AS94" i="14" s="1"/>
  <c r="AR69" i="14" l="1"/>
  <c r="AS69" i="14" s="1"/>
  <c r="AK70" i="14"/>
  <c r="AQ69" i="14"/>
  <c r="AK96" i="14"/>
  <c r="AR95" i="14"/>
  <c r="AS95" i="14" s="1"/>
  <c r="AQ70" i="14" l="1"/>
  <c r="AK71" i="14"/>
  <c r="AR70" i="14"/>
  <c r="AS70" i="14" s="1"/>
  <c r="AR96" i="14"/>
  <c r="AS96" i="14" s="1"/>
  <c r="AR71" i="14" l="1"/>
  <c r="AS71" i="14" s="1"/>
  <c r="AQ71" i="14"/>
  <c r="F11" i="4" l="1"/>
  <c r="AQ72" i="14"/>
  <c r="AQ73" i="14" s="1"/>
  <c r="AQ74" i="14" s="1"/>
  <c r="AQ75" i="14" s="1"/>
  <c r="AQ76" i="14" s="1"/>
  <c r="AQ77" i="14" s="1"/>
  <c r="AQ78" i="14" s="1"/>
  <c r="AQ79" i="14" s="1"/>
  <c r="AQ80" i="14" s="1"/>
  <c r="AQ81" i="14" s="1"/>
  <c r="AQ82" i="14" s="1"/>
  <c r="AQ83" i="14" s="1"/>
  <c r="AQ84" i="14" s="1"/>
  <c r="AQ85" i="14" s="1"/>
  <c r="AQ86" i="14" s="1"/>
  <c r="AQ87" i="14" s="1"/>
  <c r="AQ88" i="14" s="1"/>
  <c r="AQ89" i="14" s="1"/>
  <c r="AQ90" i="14" s="1"/>
  <c r="AQ91" i="14" s="1"/>
  <c r="AQ92" i="14" s="1"/>
  <c r="AQ93" i="14" s="1"/>
  <c r="AQ94" i="14" s="1"/>
  <c r="AQ95" i="14" s="1"/>
  <c r="AQ96" i="14" s="1"/>
  <c r="F13" i="4" l="1"/>
  <c r="F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Jarillas, Leonard</author>
  </authors>
  <commentList>
    <comment ref="F10" authorId="0" shapeId="0" xr:uid="{1639BE69-2B2E-44F9-8E62-B3C2FB768381}">
      <text>
        <r>
          <rPr>
            <b/>
            <sz val="9"/>
            <color indexed="81"/>
            <rFont val="Tahoma"/>
            <charset val="1"/>
          </rPr>
          <t>Jarillas, Leonard:</t>
        </r>
        <r>
          <rPr>
            <sz val="9"/>
            <color indexed="81"/>
            <rFont val="Tahoma"/>
            <charset val="1"/>
          </rPr>
          <t xml:space="preserve">
Need to manually looked at in the tracking tab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Jarillas, Leonard</author>
  </authors>
  <commentList>
    <comment ref="C2" authorId="0" shapeId="0" xr:uid="{B66B1699-2507-4A82-AC9C-E9DC25E95AB1}">
      <text>
        <r>
          <rPr>
            <b/>
            <sz val="9"/>
            <color indexed="81"/>
            <rFont val="Tahoma"/>
            <charset val="1"/>
          </rPr>
          <t>Jarillas, Leonard:</t>
        </r>
        <r>
          <rPr>
            <sz val="9"/>
            <color indexed="81"/>
            <rFont val="Tahoma"/>
            <charset val="1"/>
          </rPr>
          <t xml:space="preserve">
Not Weekend or Holiday</t>
        </r>
      </text>
    </comment>
    <comment ref="AF2" authorId="0" shapeId="0" xr:uid="{7FF73786-E411-4FAD-9943-C0A2C419B99A}">
      <text>
        <r>
          <rPr>
            <b/>
            <sz val="9"/>
            <color indexed="81"/>
            <rFont val="Tahoma"/>
            <family val="2"/>
          </rPr>
          <t>Jarillas, Leonard:</t>
        </r>
        <r>
          <rPr>
            <sz val="9"/>
            <color indexed="81"/>
            <rFont val="Tahoma"/>
            <family val="2"/>
          </rPr>
          <t xml:space="preserve">
This does not include LJ's tests because it is messing up the projected finish date.</t>
        </r>
      </text>
    </comment>
  </commentList>
</comments>
</file>

<file path=xl/sharedStrings.xml><?xml version="1.0" encoding="utf-8"?>
<sst xmlns="http://schemas.openxmlformats.org/spreadsheetml/2006/main" count="3617" uniqueCount="250">
  <si>
    <t>Mon</t>
  </si>
  <si>
    <t>Target Test Velocity per Tester</t>
  </si>
  <si>
    <t>Tue</t>
  </si>
  <si>
    <t>Total Planned # of test cases</t>
  </si>
  <si>
    <t>Wed</t>
  </si>
  <si>
    <t>Total Actual # of test cases</t>
  </si>
  <si>
    <t>Thu</t>
  </si>
  <si>
    <t>Allowance</t>
  </si>
  <si>
    <t>Fri</t>
  </si>
  <si>
    <t>Effort (Man Days)</t>
  </si>
  <si>
    <t>Sat</t>
  </si>
  <si>
    <t># of resources</t>
  </si>
  <si>
    <t>Sun</t>
  </si>
  <si>
    <t># of days</t>
  </si>
  <si>
    <t>Scheduled Start</t>
  </si>
  <si>
    <t>Date</t>
  </si>
  <si>
    <t>Day</t>
  </si>
  <si>
    <t>Holiday</t>
  </si>
  <si>
    <t>Scheduled Finish</t>
  </si>
  <si>
    <t>New Year's Day</t>
  </si>
  <si>
    <t>Projected Finish</t>
  </si>
  <si>
    <t>Australia Day</t>
  </si>
  <si>
    <t>Project Delay</t>
  </si>
  <si>
    <t>Labour Day (VIC)</t>
  </si>
  <si>
    <t>Good Friday</t>
  </si>
  <si>
    <t>Easter Saturday</t>
  </si>
  <si>
    <t>Original Deadline</t>
  </si>
  <si>
    <t>Easter Sunday</t>
  </si>
  <si>
    <t>Adjusted Deadline (VPN)</t>
  </si>
  <si>
    <t>Easter Monday</t>
  </si>
  <si>
    <t>New Deadline (Project)</t>
  </si>
  <si>
    <t>Anzac Day</t>
  </si>
  <si>
    <t>Kings's Birthday</t>
  </si>
  <si>
    <t> AFL Grand Final</t>
  </si>
  <si>
    <t>Melbourne Cup (VIC)</t>
  </si>
  <si>
    <t>Christmas</t>
  </si>
  <si>
    <t>Boxing Day</t>
  </si>
  <si>
    <t>VPN - Planned # of test cases (UIQ-Patch123)</t>
  </si>
  <si>
    <t>Powercor Day</t>
  </si>
  <si>
    <t>VPN - Actual # of test cases (UIQ-Patch123)</t>
  </si>
  <si>
    <t>UE - Planned # of test cases (Phase 2b)</t>
  </si>
  <si>
    <t>UE - ACtual # of test cases (Phase 2b)</t>
  </si>
  <si>
    <t>Test Configuration: Test ID</t>
  </si>
  <si>
    <t>Target Cycle:</t>
  </si>
  <si>
    <t>Test Set: Name:</t>
  </si>
  <si>
    <t>Test: Subject:</t>
  </si>
  <si>
    <t>Test: Test Name:</t>
  </si>
  <si>
    <t>Test: Test Priority:</t>
  </si>
  <si>
    <t>Exec Date:</t>
  </si>
  <si>
    <t>Time</t>
  </si>
  <si>
    <t>Test: Execution Status:</t>
  </si>
  <si>
    <t>Status:</t>
  </si>
  <si>
    <t>Tester:</t>
  </si>
  <si>
    <t>Responsible Tester</t>
  </si>
  <si>
    <t>Executed</t>
  </si>
  <si>
    <t>Done</t>
  </si>
  <si>
    <t>Name</t>
  </si>
  <si>
    <t>Responsible Testers</t>
  </si>
  <si>
    <t>L&amp;G 82-R64</t>
  </si>
  <si>
    <t>001 - Commissioning</t>
  </si>
  <si>
    <t>Meter state transitions - New to xxx to Active</t>
  </si>
  <si>
    <t>1-Critical</t>
  </si>
  <si>
    <t>RBT</t>
  </si>
  <si>
    <t>mkalra(Manoj Kalra)</t>
  </si>
  <si>
    <t>knjuguna(Kamau Njuguna)</t>
  </si>
  <si>
    <t>Reloading RMA meters into UIQ</t>
  </si>
  <si>
    <t>004 - Time</t>
  </si>
  <si>
    <t>01 Meter Time synchronisation to NIC - forward within interval (Auto)</t>
  </si>
  <si>
    <t>2-High</t>
  </si>
  <si>
    <t>Passed</t>
  </si>
  <si>
    <t>02 Meter Time synchronisation to NIC - forward within interval (Force)</t>
  </si>
  <si>
    <t>03 Meter Time synchronisation to NIC - backward within interval (Auto)</t>
  </si>
  <si>
    <t>04 Meter Time synchronisation to NIC - backward within interval (Force)</t>
  </si>
  <si>
    <t>05 Meter Time synchronisation to NIC - forward crossing interval (Auto)</t>
  </si>
  <si>
    <t>06 Meter Time synchronisation to NIC - forward crossing interval (Force)</t>
  </si>
  <si>
    <t>07 Meter Time synchronisation to NIC - backward crossing interval (Auto)</t>
  </si>
  <si>
    <t>08 Meter Time synchronisation to NIC - backward crossing interval (Force)</t>
  </si>
  <si>
    <t>FWU meter firmware upgrade - (seedingpercent) percent seeded - Uninterrupted</t>
  </si>
  <si>
    <t>Failed</t>
  </si>
  <si>
    <t>FWU meter firmware upgrade - (seedingpercent) percent seeded - Interrupted</t>
  </si>
  <si>
    <t>This Test is performed on U1300 meter</t>
  </si>
  <si>
    <t>Meter firmware audit</t>
  </si>
  <si>
    <t>NIC320 meter has been tested</t>
  </si>
  <si>
    <t>Meter Program -  Remote 1 - Load a full meter program (New Meter Program in UIQ)</t>
  </si>
  <si>
    <t>Not Completed</t>
  </si>
  <si>
    <t>Meter Program -  Remote 4 - Load a full meter program (Meter Program exists in UIQ)</t>
  </si>
  <si>
    <t>Meter Program -  export events</t>
  </si>
  <si>
    <t>Meter program audit</t>
  </si>
  <si>
    <t>Meter Program -  NIC program seal</t>
  </si>
  <si>
    <t>Meter Program -  Partial programming (Remote)</t>
  </si>
  <si>
    <t>L&amp;G_LP_Enable</t>
  </si>
  <si>
    <t>3-Medium</t>
  </si>
  <si>
    <t>009 - Metrology</t>
  </si>
  <si>
    <t>Meter Accuracy</t>
  </si>
  <si>
    <t>Report from L&amp;G is used for this test.</t>
  </si>
  <si>
    <t>Deferred</t>
  </si>
  <si>
    <t>Meter Data Integrity - Meter to UIQ (Full)</t>
  </si>
  <si>
    <t>AMM - On Demand Read - C1219 Read</t>
  </si>
  <si>
    <t>AMM - On Demand Read - Interval</t>
  </si>
  <si>
    <t>AMM - On Demand Read - New Data</t>
  </si>
  <si>
    <t>AMM - On Demand Read - Register</t>
  </si>
  <si>
    <t>AMM - On Demand Read - Stored Self Read</t>
  </si>
  <si>
    <t>Meter Data Integrity -  AMM export</t>
  </si>
  <si>
    <t>Meter Data Integrity -  EBQK</t>
  </si>
  <si>
    <t>MOG group will be doing this test for R64</t>
  </si>
  <si>
    <t>To be covered under meter accuracy test</t>
  </si>
  <si>
    <t>Test to be covered under meter accuracy test</t>
  </si>
  <si>
    <t>Meter Data Integrity - Meter to UIQ (Sanity)</t>
  </si>
  <si>
    <t>AMM - On Demand Read - NIC Event Log</t>
  </si>
  <si>
    <t>Meter display -  register resolution</t>
  </si>
  <si>
    <t>Meter supply contactor - Arm Remotely</t>
  </si>
  <si>
    <t>N/A</t>
  </si>
  <si>
    <t>Meter supply contactor - Remote Lockout</t>
  </si>
  <si>
    <t>Meter supply contactor connect disconnect - local</t>
  </si>
  <si>
    <t>Meter supply contactor connect disconnect - remote</t>
  </si>
  <si>
    <t>Not applicable to L&amp;G meters</t>
  </si>
  <si>
    <t>011 - Auto-Disconnection</t>
  </si>
  <si>
    <t>Auto-Disconnect - Disabled</t>
  </si>
  <si>
    <t>Auto-Disconnect - Enabled</t>
  </si>
  <si>
    <t>Auto-Disconnect - Override For NAP (L+G)</t>
  </si>
  <si>
    <t>Auto-Disconnect - Remote Lockout</t>
  </si>
  <si>
    <t>4-Low</t>
  </si>
  <si>
    <t>Meter load contactor - remote override (close)</t>
  </si>
  <si>
    <t>Meter load contactor - remote override (open)</t>
  </si>
  <si>
    <t>Meter load contactor - switching schedule 5-on-5-off</t>
  </si>
  <si>
    <t>Boost Primacy - Boost time longer than LC override</t>
  </si>
  <si>
    <t>Boost Primacy - Disabled</t>
  </si>
  <si>
    <t>Boost Primacy - Enable-Disable</t>
  </si>
  <si>
    <t>Boost operation - Disabled</t>
  </si>
  <si>
    <t>Boost operation - Enabled - Boost (Boost Duration) minutes</t>
  </si>
  <si>
    <t>014 - QoS</t>
  </si>
  <si>
    <t>Loss of phase supply on 3-phase meters</t>
  </si>
  <si>
    <t>Loss of supply - threshold</t>
  </si>
  <si>
    <t>Over temperature event - L&amp;G meters</t>
  </si>
  <si>
    <t>QoS - Low PF detection</t>
  </si>
  <si>
    <t>QoS - Overvoltage and Undervoltage</t>
  </si>
  <si>
    <t>QoS - Voltage failure detection</t>
  </si>
  <si>
    <t>This Test is performed on U1300 Meters</t>
  </si>
  <si>
    <t>Loss of supply - Verify last gasp for multiple meter outage</t>
  </si>
  <si>
    <t>015 - SIQ</t>
  </si>
  <si>
    <t>SIQ Profile Sanity Check</t>
  </si>
  <si>
    <t>016 - HAN</t>
  </si>
  <si>
    <t>HCM -  Display meter consumption on IHD</t>
  </si>
  <si>
    <t>Blocked</t>
  </si>
  <si>
    <t>No appropriate meter with HAN certificate but passed on NIC320 meter</t>
  </si>
  <si>
    <t>HCM -  Support for 2E meters metering cluster</t>
  </si>
  <si>
    <t>HCM - Import IHD</t>
  </si>
  <si>
    <t>HCM - Import ESI</t>
  </si>
  <si>
    <t>HCM - Sync ESI</t>
  </si>
  <si>
    <t>HCM - Provision ESI</t>
  </si>
  <si>
    <t>HCM -  Associate IHD to ESI</t>
  </si>
  <si>
    <t>HCM -  Join IHD to ESI</t>
  </si>
  <si>
    <t>HCM -  Ping IHD via ESI</t>
  </si>
  <si>
    <t>HCM -  Unjoin IHD to ESI</t>
  </si>
  <si>
    <t>HCM -  HAN secure key establishment</t>
  </si>
  <si>
    <t>HCM -  Enroll ESI to HCM program</t>
  </si>
  <si>
    <t>NC -  HAN radio diagnostic commands</t>
  </si>
  <si>
    <t>ESCC Normal Operation - Active Meters</t>
  </si>
  <si>
    <t>ESCC Operation on Export</t>
  </si>
  <si>
    <t>018 - Security</t>
  </si>
  <si>
    <t>Meter tamper - terminal cover</t>
  </si>
  <si>
    <t>020 - Broadcast</t>
  </si>
  <si>
    <t>Broadcast - Load contactor connect via broadcast (immediate, no randomisation)</t>
  </si>
  <si>
    <t>Broadcast - Load contactor connect via broadcast (immediate, randomisation)</t>
  </si>
  <si>
    <t>Broadcast - Load contactor connect via broadcast (scheduled, no randomisation)</t>
  </si>
  <si>
    <t>Broadcast - Load contactor disconnect via broadcast (immediate, no randomisation)</t>
  </si>
  <si>
    <t>Broadcast - Load contactor disconnect via broadcast (immediate, randomisation)</t>
  </si>
  <si>
    <t>Broadcast - Load contactor disconnect via broadcast (scheduled, no randomisation)</t>
  </si>
  <si>
    <t>Broadcast 01 - Broadcast Groups - UIQ to meter</t>
  </si>
  <si>
    <t>Broadcast 02 - Broadcast Groups - meter to UIQ</t>
  </si>
  <si>
    <t>Broadcast 08 - ESCC opeation via broadcast</t>
  </si>
  <si>
    <t>Broadcast 09 - Load contactor opeation via broadcast</t>
  </si>
  <si>
    <t>Broadcast 04 - Confirm the range of broadcast groups</t>
  </si>
  <si>
    <t>Broadcast 05 - Broadcast cert upload via netmgr</t>
  </si>
  <si>
    <t>Broadcast 07 - Broadcast cert upload via Network Centre</t>
  </si>
  <si>
    <t>Broadcast 06 - Broadcast cert upload via FSU</t>
  </si>
  <si>
    <t>HSM Cert Refresh</t>
  </si>
  <si>
    <t>HCM -  Send message to IHD</t>
  </si>
  <si>
    <t>PQ Polling</t>
  </si>
  <si>
    <t>02 L&amp;G  PQ Configuration - Remote Enable-Disable</t>
  </si>
  <si>
    <t>03 L&amp;G PQ Polling - Data Integrity</t>
  </si>
  <si>
    <t>TC Status</t>
  </si>
  <si>
    <t>Status</t>
  </si>
  <si>
    <t>Make sure this is only sorted by Test Name</t>
  </si>
  <si>
    <t>knjuguna(Kamau Njuguna) Total</t>
  </si>
  <si>
    <t>mkalra(Manoj Kalra) Total</t>
  </si>
  <si>
    <t>Grand Total</t>
  </si>
  <si>
    <t>Count of Test: Test Name:</t>
  </si>
  <si>
    <t>Column Labels</t>
  </si>
  <si>
    <t>Test Cycle</t>
  </si>
  <si>
    <t>Unfinished</t>
  </si>
  <si>
    <t>-</t>
  </si>
  <si>
    <t>Row Labels</t>
  </si>
  <si>
    <t>U1300 R6.4 - NIC3</t>
  </si>
  <si>
    <t>U1300 R6.4 - NIC5</t>
  </si>
  <si>
    <t>U3400 R6.4 - NIC3</t>
  </si>
  <si>
    <t>U3400 R6.4 - NIC5</t>
  </si>
  <si>
    <t>Remarks</t>
  </si>
  <si>
    <t>Execute at the same time</t>
  </si>
  <si>
    <t>Count of Done</t>
  </si>
  <si>
    <t>(All)</t>
  </si>
  <si>
    <t>Count of Status:</t>
  </si>
  <si>
    <t>Tester</t>
  </si>
  <si>
    <t>Exec Date</t>
  </si>
  <si>
    <t>knjuguna(Kamau Njuguna)</t>
  </si>
  <si>
    <t>(blank)</t>
  </si>
  <si>
    <t>mkalra(Manoj Kalra)</t>
  </si>
  <si>
    <t>(Multiple Items)</t>
  </si>
  <si>
    <t>Actual Resource Availability</t>
  </si>
  <si>
    <t>Planned Resource Availability</t>
  </si>
  <si>
    <t>Planned Velocity</t>
  </si>
  <si>
    <t>Delta Velocity</t>
  </si>
  <si>
    <t>Actual Velocity</t>
  </si>
  <si>
    <t>Running Average Velocity</t>
  </si>
  <si>
    <t>Daily Velocity</t>
  </si>
  <si>
    <t>Total Velocity</t>
  </si>
  <si>
    <t>Projection</t>
  </si>
  <si>
    <t># of testers = 2</t>
  </si>
  <si>
    <t>Target Finish Date</t>
  </si>
  <si>
    <t>Actual Resource Availability (Based on if testing that day)</t>
  </si>
  <si>
    <t>Running Average Velocity (Based on if testing that day)</t>
  </si>
  <si>
    <t>Working Day</t>
  </si>
  <si>
    <t>Kamau</t>
  </si>
  <si>
    <t>Manoj</t>
  </si>
  <si>
    <t>Leonard</t>
  </si>
  <si>
    <t>ljarillas(Leonard Jarillas)</t>
  </si>
  <si>
    <t>Target</t>
  </si>
  <si>
    <t>Planned</t>
  </si>
  <si>
    <t>Actual</t>
  </si>
  <si>
    <t>Average</t>
  </si>
  <si>
    <t>5D Running Average</t>
  </si>
  <si>
    <t>5D Running Average / Resource</t>
  </si>
  <si>
    <t>Average/Resource</t>
  </si>
  <si>
    <t>Needed velocity</t>
  </si>
  <si>
    <t xml:space="preserve">Needed velocity / tester </t>
  </si>
  <si>
    <t>Notes</t>
  </si>
  <si>
    <r>
      <t>Comments</t>
    </r>
    <r>
      <rPr>
        <b/>
        <sz val="10"/>
        <color rgb="FFFFFFFF"/>
        <rFont val="Arial"/>
        <family val="2"/>
      </rPr>
      <t>:</t>
    </r>
  </si>
  <si>
    <r>
      <t>U3400 R6.4</t>
    </r>
    <r>
      <rPr>
        <sz val="11"/>
        <color rgb="FF000000"/>
        <rFont val="Arial"/>
        <family val="2"/>
      </rPr>
      <t> - NIC5</t>
    </r>
  </si>
  <si>
    <r>
      <t>mkalra(Manoj</t>
    </r>
    <r>
      <rPr>
        <sz val="11"/>
        <color rgb="FF000000"/>
        <rFont val="Arial"/>
        <family val="2"/>
      </rPr>
      <t> Kalra)</t>
    </r>
  </si>
  <si>
    <r>
      <t>U3400 R6.4</t>
    </r>
    <r>
      <rPr>
        <sz val="11"/>
        <color rgb="FF000000"/>
        <rFont val="Arial"/>
        <family val="2"/>
      </rPr>
      <t> - NIC3</t>
    </r>
  </si>
  <si>
    <r>
      <t>U1300 R6.4</t>
    </r>
    <r>
      <rPr>
        <sz val="11"/>
        <color rgb="FF000000"/>
        <rFont val="Arial"/>
        <family val="2"/>
      </rPr>
      <t> - NIC5</t>
    </r>
  </si>
  <si>
    <r>
      <t>U1300 R6.4</t>
    </r>
    <r>
      <rPr>
        <sz val="11"/>
        <color rgb="FF000000"/>
        <rFont val="Arial"/>
        <family val="2"/>
      </rPr>
      <t> - NIC3</t>
    </r>
  </si>
  <si>
    <r>
      <t>knjuguna(Kamau</t>
    </r>
    <r>
      <rPr>
        <sz val="11"/>
        <color rgb="FF000000"/>
        <rFont val="Arial"/>
        <family val="2"/>
      </rPr>
      <t> Njuguna)</t>
    </r>
  </si>
  <si>
    <r>
      <t>007 - Meter </t>
    </r>
    <r>
      <rPr>
        <sz val="11"/>
        <color rgb="FF000000"/>
        <rFont val="Arial"/>
        <family val="2"/>
      </rPr>
      <t>Firmware</t>
    </r>
  </si>
  <si>
    <r>
      <t>008 - Meter </t>
    </r>
    <r>
      <rPr>
        <sz val="11"/>
        <color rgb="FF000000"/>
        <rFont val="Arial"/>
        <family val="2"/>
      </rPr>
      <t>Program</t>
    </r>
  </si>
  <si>
    <t>Covered in Meter Data Integrity test</t>
  </si>
  <si>
    <r>
      <t>008A - Meter </t>
    </r>
    <r>
      <rPr>
        <sz val="11"/>
        <color rgb="FF000000"/>
        <rFont val="Arial"/>
        <family val="2"/>
      </rPr>
      <t>Program Tests</t>
    </r>
  </si>
  <si>
    <r>
      <t>010 - Supply </t>
    </r>
    <r>
      <rPr>
        <sz val="11"/>
        <color rgb="FF000000"/>
        <rFont val="Arial"/>
        <family val="2"/>
      </rPr>
      <t>Contactor</t>
    </r>
  </si>
  <si>
    <r>
      <t>012 - Load </t>
    </r>
    <r>
      <rPr>
        <sz val="11"/>
        <color rgb="FF000000"/>
        <rFont val="Arial"/>
        <family val="2"/>
      </rPr>
      <t>Contactor</t>
    </r>
  </si>
  <si>
    <r>
      <t>017 - Supply </t>
    </r>
    <r>
      <rPr>
        <sz val="11"/>
        <color rgb="FF000000"/>
        <rFont val="Arial"/>
        <family val="2"/>
      </rPr>
      <t>Capacity Control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</si>
</sst>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d/mm/yy;@"/>
    <numFmt numFmtId="166" formatCode="[$-809]d\ mmm;@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Century Gothic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263E74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A7D00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6333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DEE3EA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6666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/>
      <right/>
      <top/>
      <bottom style="double">
        <color rgb="FFFF8001"/>
      </bottom>
      <diagonal/>
    </border>
  </borders>
  <cellStyleXfs count="9">
    <xf numFmtId="0" fontId="0" fillId="0" borderId="0"/>
    <xf numFmtId="0" fontId="5" fillId="5" borderId="0" applyNumberFormat="0" applyBorder="0" applyAlignment="0" applyProtection="0"/>
    <xf numFmtId="0" fontId="6" fillId="6" borderId="5" applyNumberFormat="0" applyAlignment="0" applyProtection="0"/>
    <xf numFmtId="0" fontId="4" fillId="0" borderId="0"/>
    <xf numFmtId="0" fontId="8" fillId="8" borderId="0" applyNumberFormat="0" applyBorder="0" applyAlignment="0" applyProtection="0"/>
    <xf numFmtId="0" fontId="9" fillId="9" borderId="5" applyNumberFormat="0" applyAlignment="0" applyProtection="0"/>
    <xf numFmtId="0" fontId="10" fillId="0" borderId="0"/>
    <xf numFmtId="9" fontId="10" fillId="0" borderId="0" applyFont="0" applyFill="0" applyBorder="0" applyAlignment="0" applyProtection="0"/>
    <xf numFmtId="0" fontId="15" fillId="0" borderId="9" applyNumberFormat="0" applyFill="0" applyAlignment="0" applyProtection="0"/>
  </cellStyleXfs>
  <cellXfs count="59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7" fillId="7" borderId="6" xfId="0" applyNumberFormat="1" applyFont="1" applyFill="1" applyBorder="1" applyAlignment="1">
      <alignment horizontal="left"/>
    </xf>
    <xf numFmtId="0" fontId="6" fillId="6" borderId="5" xfId="2"/>
    <xf numFmtId="0" fontId="0" fillId="0" borderId="0" xfId="0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right"/>
    </xf>
    <xf numFmtId="0" fontId="0" fillId="0" borderId="7" xfId="0" applyBorder="1"/>
    <xf numFmtId="14" fontId="0" fillId="0" borderId="7" xfId="0" applyNumberFormat="1" applyBorder="1"/>
    <xf numFmtId="0" fontId="0" fillId="0" borderId="0" xfId="0" applyAlignment="1">
      <alignment horizontal="center"/>
    </xf>
    <xf numFmtId="0" fontId="0" fillId="0" borderId="7" xfId="0" pivotButton="1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9" fillId="9" borderId="5" xfId="5" applyAlignment="1">
      <alignment vertical="center"/>
    </xf>
    <xf numFmtId="14" fontId="0" fillId="0" borderId="0" xfId="0" applyNumberFormat="1" applyAlignment="1">
      <alignment horizontal="right"/>
    </xf>
    <xf numFmtId="0" fontId="8" fillId="8" borderId="5" xfId="4" applyBorder="1"/>
    <xf numFmtId="0" fontId="8" fillId="8" borderId="8" xfId="4" applyBorder="1" applyAlignment="1">
      <alignment vertical="center"/>
    </xf>
    <xf numFmtId="0" fontId="8" fillId="8" borderId="0" xfId="4" applyBorder="1" applyAlignment="1">
      <alignment vertical="center"/>
    </xf>
    <xf numFmtId="14" fontId="0" fillId="0" borderId="0" xfId="0" applyNumberFormat="1"/>
    <xf numFmtId="0" fontId="1" fillId="2" borderId="0" xfId="0" applyFont="1" applyFill="1" applyAlignment="1">
      <alignment vertical="center" wrapText="1"/>
    </xf>
    <xf numFmtId="0" fontId="6" fillId="6" borderId="5" xfId="2" applyAlignment="1">
      <alignment horizontal="center" vertical="center"/>
    </xf>
    <xf numFmtId="0" fontId="8" fillId="8" borderId="0" xfId="4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 wrapText="1"/>
    </xf>
    <xf numFmtId="2" fontId="8" fillId="8" borderId="0" xfId="4" applyNumberFormat="1"/>
    <xf numFmtId="0" fontId="8" fillId="8" borderId="0" xfId="4"/>
    <xf numFmtId="0" fontId="9" fillId="9" borderId="5" xfId="5"/>
    <xf numFmtId="9" fontId="9" fillId="9" borderId="5" xfId="5" applyNumberFormat="1"/>
    <xf numFmtId="14" fontId="6" fillId="6" borderId="5" xfId="2" applyNumberFormat="1"/>
    <xf numFmtId="1" fontId="8" fillId="8" borderId="0" xfId="4" applyNumberFormat="1"/>
    <xf numFmtId="0" fontId="15" fillId="6" borderId="9" xfId="8" applyFill="1"/>
    <xf numFmtId="14" fontId="15" fillId="6" borderId="9" xfId="8" applyNumberFormat="1" applyFill="1"/>
    <xf numFmtId="14" fontId="15" fillId="0" borderId="9" xfId="8" applyNumberFormat="1" applyAlignment="1">
      <alignment horizontal="left"/>
    </xf>
    <xf numFmtId="9" fontId="0" fillId="0" borderId="7" xfId="7" applyFont="1" applyBorder="1"/>
    <xf numFmtId="0" fontId="0" fillId="0" borderId="0" xfId="0" applyAlignment="1">
      <alignment horizontal="center" vertical="center"/>
    </xf>
    <xf numFmtId="0" fontId="5" fillId="5" borderId="0" xfId="1" applyAlignment="1">
      <alignment horizontal="center" vertical="center"/>
    </xf>
    <xf numFmtId="0" fontId="9" fillId="9" borderId="5" xfId="5" applyAlignment="1">
      <alignment horizontal="center" vertical="center"/>
    </xf>
    <xf numFmtId="0" fontId="6" fillId="6" borderId="5" xfId="2" applyAlignment="1">
      <alignment horizontal="center" vertical="center"/>
    </xf>
    <xf numFmtId="0" fontId="8" fillId="8" borderId="8" xfId="4" applyBorder="1" applyAlignment="1">
      <alignment horizontal="center" vertical="center"/>
    </xf>
    <xf numFmtId="0" fontId="8" fillId="8" borderId="0" xfId="4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vertical="center" wrapText="1"/>
    </xf>
    <xf numFmtId="0" fontId="17" fillId="3" borderId="3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7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4" fontId="17" fillId="4" borderId="2" xfId="0" applyNumberFormat="1" applyFont="1" applyFill="1" applyBorder="1" applyAlignment="1">
      <alignment vertical="center" wrapText="1"/>
    </xf>
    <xf numFmtId="21" fontId="17" fillId="3" borderId="2" xfId="0" applyNumberFormat="1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</cellXfs>
  <cellStyles count="9">
    <cellStyle name="Calculation" xfId="5" builtinId="22"/>
    <cellStyle name="Good" xfId="1" builtinId="26"/>
    <cellStyle name="Input" xfId="2" builtinId="20"/>
    <cellStyle name="Linked Cell" xfId="8" builtinId="24"/>
    <cellStyle name="Neutral" xfId="4" builtinId="28"/>
    <cellStyle name="Normal" xfId="0" builtinId="0"/>
    <cellStyle name="Normal 2" xfId="3" xr:uid="{0E8F5045-AFB0-4D2F-BD62-539D908BA398}"/>
    <cellStyle name="Normal 3 2" xfId="6" xr:uid="{CF2A9FBF-8CE4-4B80-B2CA-E7C576C5CFF5}"/>
    <cellStyle name="Percent" xfId="7" builtinId="5"/>
  </cellStyles>
  <dxfs count="4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C0006"/>
      <color rgb="FFFFC7CE"/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'2024 - L&amp;G R64  Tracking'!$AN$2</c:f>
              <c:strCache>
                <c:ptCount val="1"/>
                <c:pt idx="0">
                  <c:v>5D Running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'2024 - L&amp;G R64  Tracking'!$AM$3:$AM$57</c:f>
              <c:numCache>
                <c:formatCode>d/mm/yy;@</c:formatCode>
                <c:ptCount val="55"/>
                <c:pt idx="0">
                  <c:v>45555</c:v>
                </c:pt>
                <c:pt idx="1">
                  <c:v>45556</c:v>
                </c:pt>
                <c:pt idx="2">
                  <c:v>45557</c:v>
                </c:pt>
                <c:pt idx="3">
                  <c:v>45558</c:v>
                </c:pt>
                <c:pt idx="4">
                  <c:v>45559</c:v>
                </c:pt>
                <c:pt idx="5">
                  <c:v>45560</c:v>
                </c:pt>
                <c:pt idx="6">
                  <c:v>45561</c:v>
                </c:pt>
                <c:pt idx="7">
                  <c:v>45562</c:v>
                </c:pt>
                <c:pt idx="8">
                  <c:v>45563</c:v>
                </c:pt>
                <c:pt idx="9">
                  <c:v>45564</c:v>
                </c:pt>
                <c:pt idx="10">
                  <c:v>45565</c:v>
                </c:pt>
                <c:pt idx="11">
                  <c:v>45566</c:v>
                </c:pt>
                <c:pt idx="12">
                  <c:v>45567</c:v>
                </c:pt>
                <c:pt idx="13">
                  <c:v>45568</c:v>
                </c:pt>
                <c:pt idx="14">
                  <c:v>45569</c:v>
                </c:pt>
                <c:pt idx="15">
                  <c:v>45570</c:v>
                </c:pt>
                <c:pt idx="16">
                  <c:v>45571</c:v>
                </c:pt>
                <c:pt idx="17">
                  <c:v>45572</c:v>
                </c:pt>
                <c:pt idx="18">
                  <c:v>45573</c:v>
                </c:pt>
                <c:pt idx="19">
                  <c:v>45574</c:v>
                </c:pt>
                <c:pt idx="20">
                  <c:v>45575</c:v>
                </c:pt>
                <c:pt idx="21">
                  <c:v>45576</c:v>
                </c:pt>
                <c:pt idx="22">
                  <c:v>45577</c:v>
                </c:pt>
                <c:pt idx="23">
                  <c:v>45578</c:v>
                </c:pt>
                <c:pt idx="24">
                  <c:v>45579</c:v>
                </c:pt>
                <c:pt idx="25">
                  <c:v>45580</c:v>
                </c:pt>
                <c:pt idx="26">
                  <c:v>45581</c:v>
                </c:pt>
                <c:pt idx="27">
                  <c:v>45582</c:v>
                </c:pt>
                <c:pt idx="28">
                  <c:v>45583</c:v>
                </c:pt>
                <c:pt idx="29">
                  <c:v>45584</c:v>
                </c:pt>
                <c:pt idx="30">
                  <c:v>45585</c:v>
                </c:pt>
                <c:pt idx="31">
                  <c:v>45586</c:v>
                </c:pt>
                <c:pt idx="32">
                  <c:v>45587</c:v>
                </c:pt>
                <c:pt idx="33">
                  <c:v>45588</c:v>
                </c:pt>
                <c:pt idx="34">
                  <c:v>45589</c:v>
                </c:pt>
                <c:pt idx="35">
                  <c:v>45590</c:v>
                </c:pt>
                <c:pt idx="36">
                  <c:v>45591</c:v>
                </c:pt>
                <c:pt idx="37">
                  <c:v>45592</c:v>
                </c:pt>
                <c:pt idx="38">
                  <c:v>45593</c:v>
                </c:pt>
                <c:pt idx="39">
                  <c:v>45594</c:v>
                </c:pt>
                <c:pt idx="40">
                  <c:v>45595</c:v>
                </c:pt>
                <c:pt idx="41">
                  <c:v>45596</c:v>
                </c:pt>
                <c:pt idx="42">
                  <c:v>45597</c:v>
                </c:pt>
                <c:pt idx="43">
                  <c:v>45598</c:v>
                </c:pt>
                <c:pt idx="44">
                  <c:v>45599</c:v>
                </c:pt>
                <c:pt idx="45">
                  <c:v>45600</c:v>
                </c:pt>
                <c:pt idx="46">
                  <c:v>45601</c:v>
                </c:pt>
                <c:pt idx="47">
                  <c:v>45602</c:v>
                </c:pt>
                <c:pt idx="48">
                  <c:v>45603</c:v>
                </c:pt>
                <c:pt idx="49">
                  <c:v>45604</c:v>
                </c:pt>
                <c:pt idx="50">
                  <c:v>45605</c:v>
                </c:pt>
                <c:pt idx="51">
                  <c:v>45606</c:v>
                </c:pt>
                <c:pt idx="52">
                  <c:v>45607</c:v>
                </c:pt>
                <c:pt idx="53">
                  <c:v>45608</c:v>
                </c:pt>
                <c:pt idx="54">
                  <c:v>45609</c:v>
                </c:pt>
              </c:numCache>
            </c:numRef>
          </c:cat>
          <c:val>
            <c:numRef>
              <c:f>'2024 - L&amp;G R64  Tracking'!$AN$3:$AN$57</c:f>
              <c:numCache>
                <c:formatCode>0.00</c:formatCode>
                <c:ptCount val="55"/>
                <c:pt idx="4">
                  <c:v>39</c:v>
                </c:pt>
                <c:pt idx="5">
                  <c:v>37.666666666666664</c:v>
                </c:pt>
                <c:pt idx="6">
                  <c:v>31.5</c:v>
                </c:pt>
                <c:pt idx="7">
                  <c:v>31.5</c:v>
                </c:pt>
                <c:pt idx="8">
                  <c:v>41.333333333333336</c:v>
                </c:pt>
                <c:pt idx="9">
                  <c:v>13.5</c:v>
                </c:pt>
                <c:pt idx="10">
                  <c:v>18.5</c:v>
                </c:pt>
                <c:pt idx="11">
                  <c:v>18.5</c:v>
                </c:pt>
                <c:pt idx="12">
                  <c:v>15</c:v>
                </c:pt>
                <c:pt idx="13">
                  <c:v>14.25</c:v>
                </c:pt>
                <c:pt idx="14">
                  <c:v>17</c:v>
                </c:pt>
                <c:pt idx="15">
                  <c:v>15.25</c:v>
                </c:pt>
                <c:pt idx="16">
                  <c:v>16</c:v>
                </c:pt>
                <c:pt idx="17">
                  <c:v>22.666666666666668</c:v>
                </c:pt>
                <c:pt idx="18">
                  <c:v>23.333333333333332</c:v>
                </c:pt>
                <c:pt idx="19">
                  <c:v>19</c:v>
                </c:pt>
                <c:pt idx="20">
                  <c:v>16.5</c:v>
                </c:pt>
                <c:pt idx="21">
                  <c:v>16</c:v>
                </c:pt>
                <c:pt idx="22">
                  <c:v>13</c:v>
                </c:pt>
                <c:pt idx="23">
                  <c:v>12.666666666666666</c:v>
                </c:pt>
                <c:pt idx="24">
                  <c:v>13.333333333333334</c:v>
                </c:pt>
                <c:pt idx="25">
                  <c:v>14.333333333333334</c:v>
                </c:pt>
                <c:pt idx="26">
                  <c:v>10.333333333333334</c:v>
                </c:pt>
                <c:pt idx="27">
                  <c:v>7.75</c:v>
                </c:pt>
                <c:pt idx="28">
                  <c:v>6.2</c:v>
                </c:pt>
                <c:pt idx="29">
                  <c:v>3.5</c:v>
                </c:pt>
                <c:pt idx="30">
                  <c:v>0.66666666666666663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1.75</c:v>
                </c:pt>
                <c:pt idx="35">
                  <c:v>1.4</c:v>
                </c:pt>
                <c:pt idx="36">
                  <c:v>1.75</c:v>
                </c:pt>
                <c:pt idx="37">
                  <c:v>2.3333333333333335</c:v>
                </c:pt>
                <c:pt idx="38">
                  <c:v>2.3333333333333335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6-41C8-BFC5-8EACAA38F62F}"/>
            </c:ext>
          </c:extLst>
        </c:ser>
        <c:ser>
          <c:idx val="1"/>
          <c:order val="1"/>
          <c:tx>
            <c:strRef>
              <c:f>'2024 - L&amp;G R64  Tracking'!$AO$2</c:f>
              <c:strCache>
                <c:ptCount val="1"/>
                <c:pt idx="0">
                  <c:v>5D Running Average / Resource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'2024 - L&amp;G R64  Tracking'!$AM$3:$AM$57</c:f>
              <c:numCache>
                <c:formatCode>d/mm/yy;@</c:formatCode>
                <c:ptCount val="55"/>
                <c:pt idx="0">
                  <c:v>45555</c:v>
                </c:pt>
                <c:pt idx="1">
                  <c:v>45556</c:v>
                </c:pt>
                <c:pt idx="2">
                  <c:v>45557</c:v>
                </c:pt>
                <c:pt idx="3">
                  <c:v>45558</c:v>
                </c:pt>
                <c:pt idx="4">
                  <c:v>45559</c:v>
                </c:pt>
                <c:pt idx="5">
                  <c:v>45560</c:v>
                </c:pt>
                <c:pt idx="6">
                  <c:v>45561</c:v>
                </c:pt>
                <c:pt idx="7">
                  <c:v>45562</c:v>
                </c:pt>
                <c:pt idx="8">
                  <c:v>45563</c:v>
                </c:pt>
                <c:pt idx="9">
                  <c:v>45564</c:v>
                </c:pt>
                <c:pt idx="10">
                  <c:v>45565</c:v>
                </c:pt>
                <c:pt idx="11">
                  <c:v>45566</c:v>
                </c:pt>
                <c:pt idx="12">
                  <c:v>45567</c:v>
                </c:pt>
                <c:pt idx="13">
                  <c:v>45568</c:v>
                </c:pt>
                <c:pt idx="14">
                  <c:v>45569</c:v>
                </c:pt>
                <c:pt idx="15">
                  <c:v>45570</c:v>
                </c:pt>
                <c:pt idx="16">
                  <c:v>45571</c:v>
                </c:pt>
                <c:pt idx="17">
                  <c:v>45572</c:v>
                </c:pt>
                <c:pt idx="18">
                  <c:v>45573</c:v>
                </c:pt>
                <c:pt idx="19">
                  <c:v>45574</c:v>
                </c:pt>
                <c:pt idx="20">
                  <c:v>45575</c:v>
                </c:pt>
                <c:pt idx="21">
                  <c:v>45576</c:v>
                </c:pt>
                <c:pt idx="22">
                  <c:v>45577</c:v>
                </c:pt>
                <c:pt idx="23">
                  <c:v>45578</c:v>
                </c:pt>
                <c:pt idx="24">
                  <c:v>45579</c:v>
                </c:pt>
                <c:pt idx="25">
                  <c:v>45580</c:v>
                </c:pt>
                <c:pt idx="26">
                  <c:v>45581</c:v>
                </c:pt>
                <c:pt idx="27">
                  <c:v>45582</c:v>
                </c:pt>
                <c:pt idx="28">
                  <c:v>45583</c:v>
                </c:pt>
                <c:pt idx="29">
                  <c:v>45584</c:v>
                </c:pt>
                <c:pt idx="30">
                  <c:v>45585</c:v>
                </c:pt>
                <c:pt idx="31">
                  <c:v>45586</c:v>
                </c:pt>
                <c:pt idx="32">
                  <c:v>45587</c:v>
                </c:pt>
                <c:pt idx="33">
                  <c:v>45588</c:v>
                </c:pt>
                <c:pt idx="34">
                  <c:v>45589</c:v>
                </c:pt>
                <c:pt idx="35">
                  <c:v>45590</c:v>
                </c:pt>
                <c:pt idx="36">
                  <c:v>45591</c:v>
                </c:pt>
                <c:pt idx="37">
                  <c:v>45592</c:v>
                </c:pt>
                <c:pt idx="38">
                  <c:v>45593</c:v>
                </c:pt>
                <c:pt idx="39">
                  <c:v>45594</c:v>
                </c:pt>
                <c:pt idx="40">
                  <c:v>45595</c:v>
                </c:pt>
                <c:pt idx="41">
                  <c:v>45596</c:v>
                </c:pt>
                <c:pt idx="42">
                  <c:v>45597</c:v>
                </c:pt>
                <c:pt idx="43">
                  <c:v>45598</c:v>
                </c:pt>
                <c:pt idx="44">
                  <c:v>45599</c:v>
                </c:pt>
                <c:pt idx="45">
                  <c:v>45600</c:v>
                </c:pt>
                <c:pt idx="46">
                  <c:v>45601</c:v>
                </c:pt>
                <c:pt idx="47">
                  <c:v>45602</c:v>
                </c:pt>
                <c:pt idx="48">
                  <c:v>45603</c:v>
                </c:pt>
                <c:pt idx="49">
                  <c:v>45604</c:v>
                </c:pt>
                <c:pt idx="50">
                  <c:v>45605</c:v>
                </c:pt>
                <c:pt idx="51">
                  <c:v>45606</c:v>
                </c:pt>
                <c:pt idx="52">
                  <c:v>45607</c:v>
                </c:pt>
                <c:pt idx="53">
                  <c:v>45608</c:v>
                </c:pt>
                <c:pt idx="54">
                  <c:v>45609</c:v>
                </c:pt>
              </c:numCache>
            </c:numRef>
          </c:cat>
          <c:val>
            <c:numRef>
              <c:f>'2024 - L&amp;G R64  Tracking'!$AO$3:$AO$57</c:f>
              <c:numCache>
                <c:formatCode>General</c:formatCode>
                <c:ptCount val="55"/>
                <c:pt idx="4" formatCode="0.00">
                  <c:v>19.5</c:v>
                </c:pt>
                <c:pt idx="5" formatCode="0.00">
                  <c:v>22.6</c:v>
                </c:pt>
                <c:pt idx="6" formatCode="0.00">
                  <c:v>18</c:v>
                </c:pt>
                <c:pt idx="7" formatCode="0.00">
                  <c:v>18</c:v>
                </c:pt>
                <c:pt idx="8" formatCode="0.00">
                  <c:v>24.8</c:v>
                </c:pt>
                <c:pt idx="9" formatCode="0.00">
                  <c:v>9</c:v>
                </c:pt>
                <c:pt idx="10" formatCode="0.00">
                  <c:v>9.25</c:v>
                </c:pt>
                <c:pt idx="11" formatCode="0.00">
                  <c:v>9.25</c:v>
                </c:pt>
                <c:pt idx="12" formatCode="0.00">
                  <c:v>9</c:v>
                </c:pt>
                <c:pt idx="13" formatCode="0.00">
                  <c:v>8.1428571428571423</c:v>
                </c:pt>
                <c:pt idx="14" formatCode="0.00">
                  <c:v>9.4444444444444446</c:v>
                </c:pt>
                <c:pt idx="15" formatCode="0.00">
                  <c:v>8.7142857142857135</c:v>
                </c:pt>
                <c:pt idx="16" formatCode="0.00">
                  <c:v>9.6</c:v>
                </c:pt>
                <c:pt idx="17" formatCode="0.00">
                  <c:v>11.333333333333334</c:v>
                </c:pt>
                <c:pt idx="18" formatCode="0.00">
                  <c:v>11.666666666666666</c:v>
                </c:pt>
                <c:pt idx="19" formatCode="0.00">
                  <c:v>9.5</c:v>
                </c:pt>
                <c:pt idx="20" formatCode="0.00">
                  <c:v>8.25</c:v>
                </c:pt>
                <c:pt idx="21" formatCode="0.00">
                  <c:v>8</c:v>
                </c:pt>
                <c:pt idx="22" formatCode="0.00">
                  <c:v>6.5</c:v>
                </c:pt>
                <c:pt idx="23" formatCode="0.00">
                  <c:v>6.333333333333333</c:v>
                </c:pt>
                <c:pt idx="24" formatCode="0.00">
                  <c:v>6.666666666666667</c:v>
                </c:pt>
                <c:pt idx="25" formatCode="0.00">
                  <c:v>7.166666666666667</c:v>
                </c:pt>
                <c:pt idx="26" formatCode="0.00">
                  <c:v>6.2</c:v>
                </c:pt>
                <c:pt idx="27" formatCode="0.00">
                  <c:v>4.4285714285714288</c:v>
                </c:pt>
                <c:pt idx="28" formatCode="0.00">
                  <c:v>4.4285714285714288</c:v>
                </c:pt>
                <c:pt idx="29" formatCode="0.00">
                  <c:v>2.8</c:v>
                </c:pt>
                <c:pt idx="30" formatCode="0.00">
                  <c:v>0.66666666666666663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6-41C8-BFC5-8EACAA38F62F}"/>
            </c:ext>
          </c:extLst>
        </c:ser>
        <c:ser>
          <c:idx val="2"/>
          <c:order val="2"/>
          <c:tx>
            <c:strRef>
              <c:f>'2024 - L&amp;G R64  Tracking'!$AP$2</c:f>
              <c:strCache>
                <c:ptCount val="1"/>
                <c:pt idx="0">
                  <c:v>Average/Resource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'2024 - L&amp;G R64  Tracking'!$AM$3:$AM$57</c:f>
              <c:numCache>
                <c:formatCode>d/mm/yy;@</c:formatCode>
                <c:ptCount val="55"/>
                <c:pt idx="0">
                  <c:v>45555</c:v>
                </c:pt>
                <c:pt idx="1">
                  <c:v>45556</c:v>
                </c:pt>
                <c:pt idx="2">
                  <c:v>45557</c:v>
                </c:pt>
                <c:pt idx="3">
                  <c:v>45558</c:v>
                </c:pt>
                <c:pt idx="4">
                  <c:v>45559</c:v>
                </c:pt>
                <c:pt idx="5">
                  <c:v>45560</c:v>
                </c:pt>
                <c:pt idx="6">
                  <c:v>45561</c:v>
                </c:pt>
                <c:pt idx="7">
                  <c:v>45562</c:v>
                </c:pt>
                <c:pt idx="8">
                  <c:v>45563</c:v>
                </c:pt>
                <c:pt idx="9">
                  <c:v>45564</c:v>
                </c:pt>
                <c:pt idx="10">
                  <c:v>45565</c:v>
                </c:pt>
                <c:pt idx="11">
                  <c:v>45566</c:v>
                </c:pt>
                <c:pt idx="12">
                  <c:v>45567</c:v>
                </c:pt>
                <c:pt idx="13">
                  <c:v>45568</c:v>
                </c:pt>
                <c:pt idx="14">
                  <c:v>45569</c:v>
                </c:pt>
                <c:pt idx="15">
                  <c:v>45570</c:v>
                </c:pt>
                <c:pt idx="16">
                  <c:v>45571</c:v>
                </c:pt>
                <c:pt idx="17">
                  <c:v>45572</c:v>
                </c:pt>
                <c:pt idx="18">
                  <c:v>45573</c:v>
                </c:pt>
                <c:pt idx="19">
                  <c:v>45574</c:v>
                </c:pt>
                <c:pt idx="20">
                  <c:v>45575</c:v>
                </c:pt>
                <c:pt idx="21">
                  <c:v>45576</c:v>
                </c:pt>
                <c:pt idx="22">
                  <c:v>45577</c:v>
                </c:pt>
                <c:pt idx="23">
                  <c:v>45578</c:v>
                </c:pt>
                <c:pt idx="24">
                  <c:v>45579</c:v>
                </c:pt>
                <c:pt idx="25">
                  <c:v>45580</c:v>
                </c:pt>
                <c:pt idx="26">
                  <c:v>45581</c:v>
                </c:pt>
                <c:pt idx="27">
                  <c:v>45582</c:v>
                </c:pt>
                <c:pt idx="28">
                  <c:v>45583</c:v>
                </c:pt>
                <c:pt idx="29">
                  <c:v>45584</c:v>
                </c:pt>
                <c:pt idx="30">
                  <c:v>45585</c:v>
                </c:pt>
                <c:pt idx="31">
                  <c:v>45586</c:v>
                </c:pt>
                <c:pt idx="32">
                  <c:v>45587</c:v>
                </c:pt>
                <c:pt idx="33">
                  <c:v>45588</c:v>
                </c:pt>
                <c:pt idx="34">
                  <c:v>45589</c:v>
                </c:pt>
                <c:pt idx="35">
                  <c:v>45590</c:v>
                </c:pt>
                <c:pt idx="36">
                  <c:v>45591</c:v>
                </c:pt>
                <c:pt idx="37">
                  <c:v>45592</c:v>
                </c:pt>
                <c:pt idx="38">
                  <c:v>45593</c:v>
                </c:pt>
                <c:pt idx="39">
                  <c:v>45594</c:v>
                </c:pt>
                <c:pt idx="40">
                  <c:v>45595</c:v>
                </c:pt>
                <c:pt idx="41">
                  <c:v>45596</c:v>
                </c:pt>
                <c:pt idx="42">
                  <c:v>45597</c:v>
                </c:pt>
                <c:pt idx="43">
                  <c:v>45598</c:v>
                </c:pt>
                <c:pt idx="44">
                  <c:v>45599</c:v>
                </c:pt>
                <c:pt idx="45">
                  <c:v>45600</c:v>
                </c:pt>
                <c:pt idx="46">
                  <c:v>45601</c:v>
                </c:pt>
                <c:pt idx="47">
                  <c:v>45602</c:v>
                </c:pt>
                <c:pt idx="48">
                  <c:v>45603</c:v>
                </c:pt>
                <c:pt idx="49">
                  <c:v>45604</c:v>
                </c:pt>
                <c:pt idx="50">
                  <c:v>45605</c:v>
                </c:pt>
                <c:pt idx="51">
                  <c:v>45606</c:v>
                </c:pt>
                <c:pt idx="52">
                  <c:v>45607</c:v>
                </c:pt>
                <c:pt idx="53">
                  <c:v>45608</c:v>
                </c:pt>
                <c:pt idx="54">
                  <c:v>45609</c:v>
                </c:pt>
              </c:numCache>
            </c:numRef>
          </c:cat>
          <c:val>
            <c:numRef>
              <c:f>'2024 - L&amp;G R64  Tracking'!$AP$3:$AP$57</c:f>
              <c:numCache>
                <c:formatCode>General</c:formatCode>
                <c:ptCount val="55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48.5</c:v>
                </c:pt>
                <c:pt idx="5">
                  <c:v>14</c:v>
                </c:pt>
                <c:pt idx="6">
                  <c:v>6.5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</c:v>
                </c:pt>
                <c:pt idx="11">
                  <c:v>6.5</c:v>
                </c:pt>
                <c:pt idx="12">
                  <c:v>8</c:v>
                </c:pt>
                <c:pt idx="13">
                  <c:v>6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7</c:v>
                </c:pt>
                <c:pt idx="19">
                  <c:v>7.5</c:v>
                </c:pt>
                <c:pt idx="20">
                  <c:v>4.5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  <c:pt idx="24">
                  <c:v>8.5</c:v>
                </c:pt>
                <c:pt idx="25">
                  <c:v>6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16-41C8-BFC5-8EACAA38F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740680"/>
        <c:axId val="223742648"/>
      </c:lineChart>
      <c:dateAx>
        <c:axId val="223740680"/>
        <c:scaling>
          <c:orientation val="minMax"/>
        </c:scaling>
        <c:delete val="0"/>
        <c:axPos val="b"/>
        <c:numFmt formatCode="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42648"/>
        <c:crosses val="autoZero"/>
        <c:auto val="1"/>
        <c:lblOffset val="100"/>
        <c:baseTimeUnit val="days"/>
      </c:dateAx>
      <c:valAx>
        <c:axId val="22374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4068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497643</xdr:colOff>
      <xdr:row>3</xdr:row>
      <xdr:rowOff>174209</xdr:rowOff>
    </xdr:from>
    <xdr:to>
      <xdr:col>78</xdr:col>
      <xdr:colOff>244492</xdr:colOff>
      <xdr:row>40</xdr:row>
      <xdr:rowOff>174201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588A4F-8F4C-4557-98DC-AD7E946C3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illas, Leonard" refreshedDate="45582.580597337961" createdVersion="8" refreshedVersion="8" minRefreshableVersion="3" recordCount="362" xr:uid="{09A2BAD5-CA76-4BAC-A2A5-F2FDDE55C492}">
  <cacheSource type="worksheet">
    <worksheetSource ref="A1:Q363" sheet="2024 - L&amp;G R64 - Test Instances"/>
  </cacheSource>
  <cacheFields count="17">
    <cacheField name="Test Configuration: Test ID" numFmtId="0">
      <sharedItems containsSemiMixedTypes="0" containsString="0" containsNumber="1" containsInteger="1" minValue="32" maxValue="1802"/>
    </cacheField>
    <cacheField name="Target Cycle:" numFmtId="0">
      <sharedItems/>
    </cacheField>
    <cacheField name="Test Set: Name:" numFmtId="0">
      <sharedItems count="4">
        <s v="U3400 R6.4 - NIC5"/>
        <s v="U3400 R6.4 - NIC3"/>
        <s v="U1300 R6.4 - NIC5"/>
        <s v="U1300 R6.4 - NIC3"/>
      </sharedItems>
    </cacheField>
    <cacheField name="Test: Subject:" numFmtId="0">
      <sharedItems/>
    </cacheField>
    <cacheField name="Test: Test Name:" numFmtId="0">
      <sharedItems count="89">
        <s v="Meter state transitions - New to xxx to Active"/>
        <s v="Reloading RMA meters into UIQ"/>
        <s v="01 Meter Time synchronisation to NIC - forward within interval (Auto)"/>
        <s v="02 Meter Time synchronisation to NIC - forward within interval (Force)"/>
        <s v="03 Meter Time synchronisation to NIC - backward within interval (Auto)"/>
        <s v="04 Meter Time synchronisation to NIC - backward within interval (Force)"/>
        <s v="05 Meter Time synchronisation to NIC - forward crossing interval (Auto)"/>
        <s v="06 Meter Time synchronisation to NIC - forward crossing interval (Force)"/>
        <s v="07 Meter Time synchronisation to NIC - backward crossing interval (Auto)"/>
        <s v="08 Meter Time synchronisation to NIC - backward crossing interval (Force)"/>
        <s v="FWU meter firmware upgrade - (seedingpercent) percent seeded - Uninterrupted"/>
        <s v="FWU meter firmware upgrade - (seedingpercent) percent seeded - Interrupted"/>
        <s v="Meter firmware audit"/>
        <s v="Meter Program -  Remote 1 - Load a full meter program (New Meter Program in UIQ)"/>
        <s v="Meter Program -  Remote 4 - Load a full meter program (Meter Program exists in UIQ)"/>
        <s v="Meter Program -  export events"/>
        <s v="Meter program audit"/>
        <s v="Meter Program -  NIC program seal"/>
        <s v="Meter Program -  Partial programming (Remote)"/>
        <s v="L&amp;G_LP_Enable"/>
        <s v="Meter Accuracy"/>
        <s v="Meter Data Integrity - Meter to UIQ (Full)"/>
        <s v="AMM - On Demand Read - C1219 Read"/>
        <s v="AMM - On Demand Read - Interval"/>
        <s v="AMM - On Demand Read - New Data"/>
        <s v="AMM - On Demand Read - Register"/>
        <s v="AMM - On Demand Read - Stored Self Read"/>
        <s v="Meter Data Integrity -  AMM export"/>
        <s v="Meter Data Integrity -  EBQK"/>
        <s v="Meter Data Integrity - Meter to UIQ (Sanity)"/>
        <s v="AMM - On Demand Read - NIC Event Log"/>
        <s v="Meter display -  register resolution"/>
        <s v="Meter supply contactor - Arm Remotely"/>
        <s v="Meter supply contactor - Remote Lockout"/>
        <s v="Meter supply contactor connect disconnect - local"/>
        <s v="Meter supply contactor connect disconnect - remote"/>
        <s v="Auto-Disconnect - Disabled"/>
        <s v="Auto-Disconnect - Enabled"/>
        <s v="Auto-Disconnect - Override For NAP (L+G)"/>
        <s v="Auto-Disconnect - Remote Lockout"/>
        <s v="Meter load contactor - remote override (close)"/>
        <s v="Meter load contactor - remote override (open)"/>
        <s v="Meter load contactor - switching schedule 5-on-5-off"/>
        <s v="Boost Primacy - Boost time longer than LC override"/>
        <s v="Boost Primacy - Disabled"/>
        <s v="Boost Primacy - Enable-Disable"/>
        <s v="Boost operation - Disabled"/>
        <s v="Boost operation - Enabled - Boost (Boost Duration) minutes"/>
        <s v="Loss of phase supply on 3-phase meters"/>
        <s v="Loss of supply - threshold"/>
        <s v="Over temperature event - L&amp;G meters"/>
        <s v="QoS - Low PF detection"/>
        <s v="QoS - Overvoltage and Undervoltage"/>
        <s v="QoS - Voltage failure detection"/>
        <s v="Loss of supply - Verify last gasp for multiple meter outage"/>
        <s v="SIQ Profile Sanity Check"/>
        <s v="HCM -  Display meter consumption on IHD"/>
        <s v="HCM -  Support for 2E meters metering cluster"/>
        <s v="HCM - Import IHD"/>
        <s v="HCM - Import ESI"/>
        <s v="HCM - Sync ESI"/>
        <s v="HCM - Provision ESI"/>
        <s v="HCM -  Associate IHD to ESI"/>
        <s v="HCM -  Join IHD to ESI"/>
        <s v="HCM -  Ping IHD via ESI"/>
        <s v="HCM -  Unjoin IHD to ESI"/>
        <s v="HCM -  HAN secure key establishment"/>
        <s v="HCM -  Enroll ESI to HCM program"/>
        <s v="NC -  HAN radio diagnostic commands"/>
        <s v="ESCC Normal Operation - Active Meters"/>
        <s v="ESCC Operation on Export"/>
        <s v="Meter tamper - terminal cover"/>
        <s v="Broadcast - Load contactor connect via broadcast (immediate, no randomisation)"/>
        <s v="Broadcast - Load contactor connect via broadcast (immediate, randomisation)"/>
        <s v="Broadcast - Load contactor connect via broadcast (scheduled, no randomisation)"/>
        <s v="Broadcast - Load contactor disconnect via broadcast (immediate, no randomisation)"/>
        <s v="Broadcast - Load contactor disconnect via broadcast (immediate, randomisation)"/>
        <s v="Broadcast - Load contactor disconnect via broadcast (scheduled, no randomisation)"/>
        <s v="Broadcast 01 - Broadcast Groups - UIQ to meter"/>
        <s v="Broadcast 02 - Broadcast Groups - meter to UIQ"/>
        <s v="Broadcast 08 - ESCC opeation via broadcast"/>
        <s v="Broadcast 09 - Load contactor opeation via broadcast"/>
        <s v="Broadcast 04 - Confirm the range of broadcast groups"/>
        <s v="Broadcast 05 - Broadcast cert upload via netmgr"/>
        <s v="Broadcast 07 - Broadcast cert upload via Network Centre"/>
        <s v="Broadcast 06 - Broadcast cert upload via FSU"/>
        <s v="HCM -  Send message to IHD"/>
        <s v="02 L&amp;G  PQ Configuration - Remote Enable-Disable"/>
        <s v="03 L&amp;G PQ Polling - Data Integrity"/>
      </sharedItems>
    </cacheField>
    <cacheField name="Test: Test Priority:" numFmtId="0">
      <sharedItems/>
    </cacheField>
    <cacheField name="Comments:" numFmtId="0">
      <sharedItems/>
    </cacheField>
    <cacheField name="Exec Date:" numFmtId="14">
      <sharedItems containsSemiMixedTypes="0" containsNonDate="0" containsDate="1" containsString="0" minDate="2024-09-20T00:00:00" maxDate="2024-10-17T00:00:00"/>
    </cacheField>
    <cacheField name="Time" numFmtId="21">
      <sharedItems containsSemiMixedTypes="0" containsNonDate="0" containsDate="1" containsString="0" minDate="1899-12-30T08:37:39" maxDate="1899-12-30T17:53:57"/>
    </cacheField>
    <cacheField name="Test: Execution Status:" numFmtId="0">
      <sharedItems/>
    </cacheField>
    <cacheField name="Status:" numFmtId="0">
      <sharedItems/>
    </cacheField>
    <cacheField name="Tester:" numFmtId="0">
      <sharedItems/>
    </cacheField>
    <cacheField name="Responsible Tester" numFmtId="0">
      <sharedItems/>
    </cacheField>
    <cacheField name="Executed" numFmtId="0">
      <sharedItems/>
    </cacheField>
    <cacheField name="Done" numFmtId="0">
      <sharedItems/>
    </cacheField>
    <cacheField name="Name" numFmtId="0">
      <sharedItems/>
    </cacheField>
    <cacheField name="Responsible Tester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illas, Leonard" refreshedDate="45582.580597800923" createdVersion="6" refreshedVersion="8" minRefreshableVersion="3" recordCount="364" xr:uid="{C73E2874-A23A-4D4A-B6A4-89395836290C}">
  <cacheSource type="worksheet">
    <worksheetSource ref="A1:P1048576" sheet="2024 - L&amp;G R64 - Test Instances"/>
  </cacheSource>
  <cacheFields count="16">
    <cacheField name="Test Configuration: Test ID" numFmtId="0">
      <sharedItems containsString="0" containsBlank="1" containsNumber="1" containsInteger="1" minValue="32" maxValue="1802"/>
    </cacheField>
    <cacheField name="Target Cycle:" numFmtId="0">
      <sharedItems containsBlank="1" count="2">
        <s v="L&amp;G 82-R64"/>
        <m/>
      </sharedItems>
    </cacheField>
    <cacheField name="Test Set: Name:" numFmtId="0">
      <sharedItems containsBlank="1"/>
    </cacheField>
    <cacheField name="Test: Subject:" numFmtId="0">
      <sharedItems containsBlank="1"/>
    </cacheField>
    <cacheField name="Test: Test Name:" numFmtId="0">
      <sharedItems containsBlank="1"/>
    </cacheField>
    <cacheField name="Test: Test Priority:" numFmtId="0">
      <sharedItems containsBlank="1" count="5">
        <s v="1-Critical"/>
        <s v="2-High"/>
        <s v="3-Medium"/>
        <s v="4-Low"/>
        <m/>
      </sharedItems>
    </cacheField>
    <cacheField name="Comments:" numFmtId="0">
      <sharedItems containsBlank="1"/>
    </cacheField>
    <cacheField name="Exec Date:" numFmtId="0">
      <sharedItems containsNonDate="0" containsDate="1" containsString="0" containsBlank="1" minDate="2024-09-20T00:00:00" maxDate="2024-10-17T00:00:00"/>
    </cacheField>
    <cacheField name="Time" numFmtId="0">
      <sharedItems containsNonDate="0" containsDate="1" containsString="0" containsBlank="1" minDate="1899-12-30T08:37:39" maxDate="1899-12-30T17:53:57"/>
    </cacheField>
    <cacheField name="Test: Execution Status:" numFmtId="0">
      <sharedItems containsBlank="1"/>
    </cacheField>
    <cacheField name="Status:" numFmtId="0">
      <sharedItems containsBlank="1" count="9">
        <s v="RBT"/>
        <s v="Passed"/>
        <s v="Failed"/>
        <s v="Not Completed"/>
        <s v="Deferred"/>
        <s v="N/A"/>
        <s v="Blocked"/>
        <m/>
        <s v="No Run" u="1"/>
      </sharedItems>
    </cacheField>
    <cacheField name="Tester:" numFmtId="0">
      <sharedItems containsBlank="1"/>
    </cacheField>
    <cacheField name="Responsible Tester" numFmtId="0">
      <sharedItems containsBlank="1" count="3">
        <s v="mkalra(Manoj Kalra)"/>
        <s v="knjuguna(Kamau Njuguna)"/>
        <m/>
      </sharedItems>
    </cacheField>
    <cacheField name="Executed" numFmtId="0">
      <sharedItems containsBlank="1"/>
    </cacheField>
    <cacheField name="Done" numFmtId="0">
      <sharedItems containsBlank="1" count="7">
        <s v="Done"/>
        <s v="Unfinished"/>
        <s v="-"/>
        <s v="N/A"/>
        <s v="Blocked"/>
        <m/>
        <s v="RBT" u="1"/>
      </sharedItems>
    </cacheField>
    <cacheField name="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illas, Leonard" refreshedDate="45582.580598611108" createdVersion="6" refreshedVersion="8" minRefreshableVersion="3" recordCount="364" xr:uid="{402C9C51-220C-4BA3-80A9-E263B1242F5E}">
  <cacheSource type="worksheet">
    <worksheetSource ref="A1:N1048576" sheet="2024 - L&amp;G R64 - Test Instances"/>
  </cacheSource>
  <cacheFields count="14">
    <cacheField name="Test Configuration: Test ID" numFmtId="0">
      <sharedItems containsString="0" containsBlank="1" containsNumber="1" containsInteger="1" minValue="32" maxValue="1802"/>
    </cacheField>
    <cacheField name="Target Cycle:" numFmtId="0">
      <sharedItems containsBlank="1" count="2">
        <s v="L&amp;G 82-R64"/>
        <m/>
      </sharedItems>
    </cacheField>
    <cacheField name="Test Set: Name:" numFmtId="0">
      <sharedItems containsBlank="1"/>
    </cacheField>
    <cacheField name="Test: Subject:" numFmtId="0">
      <sharedItems containsBlank="1"/>
    </cacheField>
    <cacheField name="Test: Test Name:" numFmtId="0">
      <sharedItems containsBlank="1"/>
    </cacheField>
    <cacheField name="Test: Test Priority:" numFmtId="0">
      <sharedItems containsBlank="1"/>
    </cacheField>
    <cacheField name="Comments:" numFmtId="0">
      <sharedItems containsBlank="1"/>
    </cacheField>
    <cacheField name="Exec Date:" numFmtId="0">
      <sharedItems containsNonDate="0" containsDate="1" containsString="0" containsBlank="1" minDate="2024-09-20T00:00:00" maxDate="2024-10-17T00:00:00" count="19">
        <d v="2024-09-24T00:00:00"/>
        <d v="2024-10-01T00:00:00"/>
        <d v="2024-10-02T00:00:00"/>
        <d v="2024-10-03T00:00:00"/>
        <d v="2024-10-14T00:00:00"/>
        <d v="2024-10-11T00:00:00"/>
        <d v="2024-10-08T00:00:00"/>
        <d v="2024-10-04T00:00:00"/>
        <d v="2024-09-20T00:00:00"/>
        <d v="2024-10-16T00:00:00"/>
        <d v="2024-10-15T00:00:00"/>
        <d v="2024-10-07T00:00:00"/>
        <d v="2024-09-30T00:00:00"/>
        <d v="2024-10-09T00:00:00"/>
        <d v="2024-10-10T00:00:00"/>
        <d v="2024-09-26T00:00:00"/>
        <d v="2024-09-25T00:00:00"/>
        <d v="2024-09-23T00:00:00"/>
        <m/>
      </sharedItems>
    </cacheField>
    <cacheField name="Time" numFmtId="0">
      <sharedItems containsNonDate="0" containsDate="1" containsString="0" containsBlank="1" minDate="1899-12-30T08:37:39" maxDate="1899-12-30T17:53:57"/>
    </cacheField>
    <cacheField name="Test: Execution Status:" numFmtId="0">
      <sharedItems containsBlank="1"/>
    </cacheField>
    <cacheField name="Status:" numFmtId="0">
      <sharedItems containsBlank="1" count="9">
        <s v="RBT"/>
        <s v="Passed"/>
        <s v="Failed"/>
        <s v="Not Completed"/>
        <s v="Deferred"/>
        <s v="N/A"/>
        <s v="Blocked"/>
        <m/>
        <s v="No Run" u="1"/>
      </sharedItems>
    </cacheField>
    <cacheField name="Tester:" numFmtId="0">
      <sharedItems containsBlank="1" count="3">
        <s v="mkalra(Manoj Kalra)"/>
        <s v="knjuguna(Kamau Njuguna)"/>
        <m/>
      </sharedItems>
    </cacheField>
    <cacheField name="Responsible Tester" numFmtId="0">
      <sharedItems containsBlank="1"/>
    </cacheField>
    <cacheField name="Execut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illas, Leonard" refreshedDate="45582.580598958331" createdVersion="7" refreshedVersion="8" minRefreshableVersion="3" recordCount="364" xr:uid="{D2691468-38C7-4A53-943D-F1B13DCA7E34}">
  <cacheSource type="worksheet">
    <worksheetSource ref="A1:O1048576" sheet="2024 - L&amp;G R64 - Test Instances"/>
  </cacheSource>
  <cacheFields count="15">
    <cacheField name="Test Configuration: Test ID" numFmtId="0">
      <sharedItems containsString="0" containsBlank="1" containsNumber="1" containsInteger="1" minValue="32" maxValue="1802"/>
    </cacheField>
    <cacheField name="Target Cycle:" numFmtId="0">
      <sharedItems containsBlank="1" count="2">
        <s v="L&amp;G 82-R64"/>
        <m/>
      </sharedItems>
    </cacheField>
    <cacheField name="Test Set: Name:" numFmtId="0">
      <sharedItems containsBlank="1"/>
    </cacheField>
    <cacheField name="Test: Subject:" numFmtId="0">
      <sharedItems containsBlank="1"/>
    </cacheField>
    <cacheField name="Test: Test Name:" numFmtId="0">
      <sharedItems containsBlank="1"/>
    </cacheField>
    <cacheField name="Test: Test Priority:" numFmtId="0">
      <sharedItems containsBlank="1"/>
    </cacheField>
    <cacheField name="Comments:" numFmtId="0">
      <sharedItems containsBlank="1"/>
    </cacheField>
    <cacheField name="Exec Date:" numFmtId="0">
      <sharedItems containsNonDate="0" containsDate="1" containsString="0" containsBlank="1" minDate="2024-09-20T00:00:00" maxDate="2024-10-17T00:00:00"/>
    </cacheField>
    <cacheField name="Time" numFmtId="0">
      <sharedItems containsNonDate="0" containsDate="1" containsString="0" containsBlank="1" minDate="1899-12-30T08:37:39" maxDate="1899-12-30T17:53:57"/>
    </cacheField>
    <cacheField name="Test: Execution Status:" numFmtId="0">
      <sharedItems containsBlank="1"/>
    </cacheField>
    <cacheField name="Status:" numFmtId="0">
      <sharedItems containsBlank="1"/>
    </cacheField>
    <cacheField name="Tester:" numFmtId="0">
      <sharedItems containsBlank="1"/>
    </cacheField>
    <cacheField name="Responsible Tester" numFmtId="0">
      <sharedItems containsBlank="1" count="3">
        <s v="mkalra(Manoj Kalra)"/>
        <s v="knjuguna(Kamau Njuguna)"/>
        <m/>
      </sharedItems>
    </cacheField>
    <cacheField name="Executed" numFmtId="0">
      <sharedItems containsBlank="1" count="4">
        <s v="RBT"/>
        <s v="Executed"/>
        <s v="No Run"/>
        <m/>
      </sharedItems>
    </cacheField>
    <cacheField name="Done" numFmtId="0">
      <sharedItems containsBlank="1" count="7">
        <s v="Done"/>
        <s v="Unfinished"/>
        <s v="-"/>
        <s v="N/A"/>
        <s v="Blocked"/>
        <m/>
        <s v="RB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n v="36"/>
    <s v="L&amp;G 82-R64"/>
    <x v="0"/>
    <s v="001 - Commissioning"/>
    <x v="0"/>
    <s v="1-Critical"/>
    <s v=" "/>
    <d v="2024-09-24T00:00:00"/>
    <d v="1899-12-30T17:16:59"/>
    <s v="RBT"/>
    <s v="RBT"/>
    <s v="mkalra(Manoj Kalra)"/>
    <s v="mkalra(Manoj Kalra)"/>
    <s v="RBT"/>
    <s v="Done"/>
    <s v="U3400 R6.4 - NIC5 - Meter state transitions - New to xxx to Active"/>
    <m/>
  </r>
  <r>
    <n v="36"/>
    <s v="L&amp;G 82-R64"/>
    <x v="0"/>
    <s v="001 - Commissioning"/>
    <x v="0"/>
    <s v="1-Critical"/>
    <s v=" "/>
    <d v="2024-09-24T00:00:00"/>
    <d v="1899-12-30T17:17:00"/>
    <s v="RBT"/>
    <s v="RBT"/>
    <s v="mkalra(Manoj Kalra)"/>
    <s v="mkalra(Manoj Kalra)"/>
    <s v="RBT"/>
    <s v="Done"/>
    <s v="U3400 R6.4 - NIC5 - Meter state transitions - New to xxx to Active"/>
    <m/>
  </r>
  <r>
    <n v="36"/>
    <s v="L&amp;G 82-R64"/>
    <x v="1"/>
    <s v="001 - Commissioning"/>
    <x v="0"/>
    <s v="1-Critical"/>
    <s v=" "/>
    <d v="2024-09-24T00:00:00"/>
    <d v="1899-12-30T17:16:12"/>
    <s v="RBT"/>
    <s v="RBT"/>
    <s v="mkalra(Manoj Kalra)"/>
    <s v="mkalra(Manoj Kalra)"/>
    <s v="RBT"/>
    <s v="Done"/>
    <s v="U3400 R6.4 - NIC3 - Meter state transitions - New to xxx to Active"/>
    <m/>
  </r>
  <r>
    <n v="36"/>
    <s v="L&amp;G 82-R64"/>
    <x v="1"/>
    <s v="001 - Commissioning"/>
    <x v="0"/>
    <s v="1-Critical"/>
    <s v=" "/>
    <d v="2024-09-24T00:00:00"/>
    <d v="1899-12-30T17:16:11"/>
    <s v="RBT"/>
    <s v="RBT"/>
    <s v="mkalra(Manoj Kalra)"/>
    <s v="mkalra(Manoj Kalra)"/>
    <s v="RBT"/>
    <s v="Done"/>
    <s v="U3400 R6.4 - NIC3 - Meter state transitions - New to xxx to Active"/>
    <m/>
  </r>
  <r>
    <n v="36"/>
    <s v="L&amp;G 82-R64"/>
    <x v="2"/>
    <s v="001 - Commissioning"/>
    <x v="0"/>
    <s v="1-Critical"/>
    <s v=" "/>
    <d v="2024-09-24T00:00:00"/>
    <d v="1899-12-30T17:14:47"/>
    <s v="RBT"/>
    <s v="RBT"/>
    <s v="mkalra(Manoj Kalra)"/>
    <s v="knjuguna(Kamau Njuguna)"/>
    <s v="RBT"/>
    <s v="Done"/>
    <s v="U1300 R6.4 - NIC5 - Meter state transitions - New to xxx to Active"/>
    <m/>
  </r>
  <r>
    <n v="36"/>
    <s v="L&amp;G 82-R64"/>
    <x v="2"/>
    <s v="001 - Commissioning"/>
    <x v="0"/>
    <s v="1-Critical"/>
    <s v=" "/>
    <d v="2024-09-24T00:00:00"/>
    <d v="1899-12-30T17:14:48"/>
    <s v="RBT"/>
    <s v="RBT"/>
    <s v="mkalra(Manoj Kalra)"/>
    <s v="knjuguna(Kamau Njuguna)"/>
    <s v="RBT"/>
    <s v="Done"/>
    <s v="U1300 R6.4 - NIC5 - Meter state transitions - New to xxx to Active"/>
    <m/>
  </r>
  <r>
    <n v="36"/>
    <s v="L&amp;G 82-R64"/>
    <x v="3"/>
    <s v="001 - Commissioning"/>
    <x v="0"/>
    <s v="1-Critical"/>
    <s v=" "/>
    <d v="2024-09-24T00:00:00"/>
    <d v="1899-12-30T17:14:24"/>
    <s v="RBT"/>
    <s v="RBT"/>
    <s v="mkalra(Manoj Kalra)"/>
    <s v="knjuguna(Kamau Njuguna)"/>
    <s v="RBT"/>
    <s v="Done"/>
    <s v="U1300 R6.4 - NIC3 - Meter state transitions - New to xxx to Active"/>
    <m/>
  </r>
  <r>
    <n v="36"/>
    <s v="L&amp;G 82-R64"/>
    <x v="3"/>
    <s v="001 - Commissioning"/>
    <x v="0"/>
    <s v="1-Critical"/>
    <s v=" "/>
    <d v="2024-09-24T00:00:00"/>
    <d v="1899-12-30T17:14:21"/>
    <s v="RBT"/>
    <s v="RBT"/>
    <s v="mkalra(Manoj Kalra)"/>
    <s v="knjuguna(Kamau Njuguna)"/>
    <s v="RBT"/>
    <s v="Done"/>
    <s v="U1300 R6.4 - NIC3 - Meter state transitions - New to xxx to Active"/>
    <m/>
  </r>
  <r>
    <n v="32"/>
    <s v="L&amp;G 82-R64"/>
    <x v="3"/>
    <s v="001 - Commissioning"/>
    <x v="1"/>
    <s v="1-Critical"/>
    <s v=" "/>
    <d v="2024-09-24T00:00:00"/>
    <d v="1899-12-30T17:14:26"/>
    <s v="RBT"/>
    <s v="RBT"/>
    <s v="mkalra(Manoj Kalra)"/>
    <s v="knjuguna(Kamau Njuguna)"/>
    <s v="RBT"/>
    <s v="Done"/>
    <s v="U1300 R6.4 - NIC3 - Reloading RMA meters into UIQ"/>
    <m/>
  </r>
  <r>
    <n v="32"/>
    <s v="L&amp;G 82-R64"/>
    <x v="3"/>
    <s v="001 - Commissioning"/>
    <x v="1"/>
    <s v="1-Critical"/>
    <s v=" "/>
    <d v="2024-09-24T00:00:00"/>
    <d v="1899-12-30T17:14:34"/>
    <s v="RBT"/>
    <s v="RBT"/>
    <s v="mkalra(Manoj Kalra)"/>
    <s v="knjuguna(Kamau Njuguna)"/>
    <s v="RBT"/>
    <s v="Done"/>
    <s v="U1300 R6.4 - NIC3 - Reloading RMA meters into UIQ"/>
    <m/>
  </r>
  <r>
    <n v="32"/>
    <s v="L&amp;G 82-R64"/>
    <x v="2"/>
    <s v="001 - Commissioning"/>
    <x v="1"/>
    <s v="1-Critical"/>
    <s v=" "/>
    <d v="2024-09-24T00:00:00"/>
    <d v="1899-12-30T17:14:45"/>
    <s v="RBT"/>
    <s v="RBT"/>
    <s v="mkalra(Manoj Kalra)"/>
    <s v="knjuguna(Kamau Njuguna)"/>
    <s v="RBT"/>
    <s v="Done"/>
    <s v="U1300 R6.4 - NIC5 - Reloading RMA meters into UIQ"/>
    <m/>
  </r>
  <r>
    <n v="32"/>
    <s v="L&amp;G 82-R64"/>
    <x v="2"/>
    <s v="001 - Commissioning"/>
    <x v="1"/>
    <s v="1-Critical"/>
    <s v=" "/>
    <d v="2024-09-24T00:00:00"/>
    <d v="1899-12-30T17:14:43"/>
    <s v="RBT"/>
    <s v="RBT"/>
    <s v="mkalra(Manoj Kalra)"/>
    <s v="knjuguna(Kamau Njuguna)"/>
    <s v="RBT"/>
    <s v="Done"/>
    <s v="U1300 R6.4 - NIC5 - Reloading RMA meters into UIQ"/>
    <m/>
  </r>
  <r>
    <n v="32"/>
    <s v="L&amp;G 82-R64"/>
    <x v="1"/>
    <s v="001 - Commissioning"/>
    <x v="1"/>
    <s v="1-Critical"/>
    <s v=" "/>
    <d v="2024-09-24T00:00:00"/>
    <d v="1899-12-30T17:16:44"/>
    <s v="RBT"/>
    <s v="RBT"/>
    <s v="mkalra(Manoj Kalra)"/>
    <s v="mkalra(Manoj Kalra)"/>
    <s v="RBT"/>
    <s v="Done"/>
    <s v="U3400 R6.4 - NIC3 - Reloading RMA meters into UIQ"/>
    <m/>
  </r>
  <r>
    <n v="32"/>
    <s v="L&amp;G 82-R64"/>
    <x v="1"/>
    <s v="001 - Commissioning"/>
    <x v="1"/>
    <s v="1-Critical"/>
    <s v=" "/>
    <d v="2024-09-24T00:00:00"/>
    <d v="1899-12-30T17:16:14"/>
    <s v="RBT"/>
    <s v="RBT"/>
    <s v="mkalra(Manoj Kalra)"/>
    <s v="mkalra(Manoj Kalra)"/>
    <s v="RBT"/>
    <s v="Done"/>
    <s v="U3400 R6.4 - NIC3 - Reloading RMA meters into UIQ"/>
    <m/>
  </r>
  <r>
    <n v="32"/>
    <s v="L&amp;G 82-R64"/>
    <x v="0"/>
    <s v="001 - Commissioning"/>
    <x v="1"/>
    <s v="1-Critical"/>
    <s v=" "/>
    <d v="2024-09-24T00:00:00"/>
    <d v="1899-12-30T17:16:58"/>
    <s v="RBT"/>
    <s v="RBT"/>
    <s v="mkalra(Manoj Kalra)"/>
    <s v="mkalra(Manoj Kalra)"/>
    <s v="RBT"/>
    <s v="Done"/>
    <s v="U3400 R6.4 - NIC5 - Reloading RMA meters into UIQ"/>
    <m/>
  </r>
  <r>
    <n v="32"/>
    <s v="L&amp;G 82-R64"/>
    <x v="0"/>
    <s v="001 - Commissioning"/>
    <x v="1"/>
    <s v="1-Critical"/>
    <s v=" "/>
    <d v="2024-09-24T00:00:00"/>
    <d v="1899-12-30T17:16:56"/>
    <s v="RBT"/>
    <s v="RBT"/>
    <s v="mkalra(Manoj Kalra)"/>
    <s v="mkalra(Manoj Kalra)"/>
    <s v="RBT"/>
    <s v="Done"/>
    <s v="U3400 R6.4 - NIC5 - Reloading RMA meters into UIQ"/>
    <m/>
  </r>
  <r>
    <n v="963"/>
    <s v="L&amp;G 82-R64"/>
    <x v="1"/>
    <s v="004 - Time"/>
    <x v="2"/>
    <s v="2-High"/>
    <s v=" "/>
    <d v="2024-10-01T00:00:00"/>
    <d v="1899-12-30T16:14:40"/>
    <s v="Passed"/>
    <s v="Passed"/>
    <s v="mkalra(Manoj Kalra)"/>
    <s v="mkalra(Manoj Kalra)"/>
    <s v="Executed"/>
    <s v="Done"/>
    <s v="U3400 R6.4 - NIC3 - 01 Meter Time synchronisation to NIC - forward within interval (Auto)"/>
    <m/>
  </r>
  <r>
    <n v="153"/>
    <s v="L&amp;G 82-R64"/>
    <x v="1"/>
    <s v="004 - Time"/>
    <x v="3"/>
    <s v="1-Critical"/>
    <s v=" "/>
    <d v="2024-10-02T00:00:00"/>
    <d v="1899-12-30T11:25:54"/>
    <s v="Passed"/>
    <s v="Passed"/>
    <s v="mkalra(Manoj Kalra)"/>
    <s v="mkalra(Manoj Kalra)"/>
    <s v="Executed"/>
    <s v="Done"/>
    <s v="U3400 R6.4 - NIC3 - 02 Meter Time synchronisation to NIC - forward within interval (Force)"/>
    <m/>
  </r>
  <r>
    <n v="154"/>
    <s v="L&amp;G 82-R64"/>
    <x v="1"/>
    <s v="004 - Time"/>
    <x v="4"/>
    <s v="2-High"/>
    <s v=" "/>
    <d v="2024-10-02T00:00:00"/>
    <d v="1899-12-30T13:43:20"/>
    <s v="Passed"/>
    <s v="Passed"/>
    <s v="mkalra(Manoj Kalra)"/>
    <s v="mkalra(Manoj Kalra)"/>
    <s v="Executed"/>
    <s v="Done"/>
    <s v="U3400 R6.4 - NIC3 - 03 Meter Time synchronisation to NIC - backward within interval (Auto)"/>
    <m/>
  </r>
  <r>
    <n v="158"/>
    <s v="L&amp;G 82-R64"/>
    <x v="1"/>
    <s v="004 - Time"/>
    <x v="5"/>
    <s v="1-Critical"/>
    <s v=" "/>
    <d v="2024-10-02T00:00:00"/>
    <d v="1899-12-30T14:37:18"/>
    <s v="Passed"/>
    <s v="Passed"/>
    <s v="mkalra(Manoj Kalra)"/>
    <s v="mkalra(Manoj Kalra)"/>
    <s v="Executed"/>
    <s v="Done"/>
    <s v="U3400 R6.4 - NIC3 - 04 Meter Time synchronisation to NIC - backward within interval (Force)"/>
    <m/>
  </r>
  <r>
    <n v="156"/>
    <s v="L&amp;G 82-R64"/>
    <x v="1"/>
    <s v="004 - Time"/>
    <x v="6"/>
    <s v="2-High"/>
    <s v=" "/>
    <d v="2024-10-02T00:00:00"/>
    <d v="1899-12-30T15:42:13"/>
    <s v="Passed"/>
    <s v="Passed"/>
    <s v="mkalra(Manoj Kalra)"/>
    <s v="mkalra(Manoj Kalra)"/>
    <s v="Executed"/>
    <s v="Done"/>
    <s v="U3400 R6.4 - NIC3 - 05 Meter Time synchronisation to NIC - forward crossing interval (Auto)"/>
    <m/>
  </r>
  <r>
    <n v="157"/>
    <s v="L&amp;G 82-R64"/>
    <x v="1"/>
    <s v="004 - Time"/>
    <x v="7"/>
    <s v="2-High"/>
    <s v=" "/>
    <d v="2024-10-03T00:00:00"/>
    <d v="1899-12-30T11:04:09"/>
    <s v="Passed"/>
    <s v="Passed"/>
    <s v="mkalra(Manoj Kalra)"/>
    <s v="mkalra(Manoj Kalra)"/>
    <s v="Executed"/>
    <s v="Done"/>
    <s v="U3400 R6.4 - NIC3 - 06 Meter Time synchronisation to NIC - forward crossing interval (Force)"/>
    <m/>
  </r>
  <r>
    <n v="159"/>
    <s v="L&amp;G 82-R64"/>
    <x v="1"/>
    <s v="004 - Time"/>
    <x v="8"/>
    <s v="2-High"/>
    <s v=" "/>
    <d v="2024-10-14T00:00:00"/>
    <d v="1899-12-30T16:18:25"/>
    <s v="Passed"/>
    <s v="Passed"/>
    <s v="mkalra(Manoj Kalra)"/>
    <s v="mkalra(Manoj Kalra)"/>
    <s v="Executed"/>
    <s v="Done"/>
    <s v="U3400 R6.4 - NIC3 - 07 Meter Time synchronisation to NIC - backward crossing interval (Auto)"/>
    <m/>
  </r>
  <r>
    <n v="964"/>
    <s v="L&amp;G 82-R64"/>
    <x v="1"/>
    <s v="004 - Time"/>
    <x v="9"/>
    <s v="2-High"/>
    <s v=" "/>
    <d v="2024-10-14T00:00:00"/>
    <d v="1899-12-30T16:19:53"/>
    <s v="Passed"/>
    <s v="Passed"/>
    <s v="mkalra(Manoj Kalra)"/>
    <s v="mkalra(Manoj Kalra)"/>
    <s v="Executed"/>
    <s v="Done"/>
    <s v="U3400 R6.4 - NIC3 - 08 Meter Time synchronisation to NIC - backward crossing interval (Force)"/>
    <m/>
  </r>
  <r>
    <n v="963"/>
    <s v="L&amp;G 82-R64"/>
    <x v="3"/>
    <s v="004 - Time"/>
    <x v="2"/>
    <s v="2-High"/>
    <s v=" "/>
    <d v="2024-10-11T00:00:00"/>
    <d v="1899-12-30T10:18:41"/>
    <s v="Passed"/>
    <s v="Passed"/>
    <s v="knjuguna(Kamau Njuguna)"/>
    <s v="knjuguna(Kamau Njuguna)"/>
    <s v="Executed"/>
    <s v="Done"/>
    <s v="U1300 R6.4 - NIC3 - 01 Meter Time synchronisation to NIC - forward within interval (Auto)"/>
    <m/>
  </r>
  <r>
    <n v="153"/>
    <s v="L&amp;G 82-R64"/>
    <x v="3"/>
    <s v="004 - Time"/>
    <x v="3"/>
    <s v="1-Critical"/>
    <s v=" "/>
    <d v="2024-10-11T00:00:00"/>
    <d v="1899-12-30T11:41:11"/>
    <s v="Passed"/>
    <s v="Passed"/>
    <s v="knjuguna(Kamau Njuguna)"/>
    <s v="knjuguna(Kamau Njuguna)"/>
    <s v="Executed"/>
    <s v="Done"/>
    <s v="U1300 R6.4 - NIC3 - 02 Meter Time synchronisation to NIC - forward within interval (Force)"/>
    <m/>
  </r>
  <r>
    <n v="154"/>
    <s v="L&amp;G 82-R64"/>
    <x v="3"/>
    <s v="004 - Time"/>
    <x v="4"/>
    <s v="2-High"/>
    <s v=" "/>
    <d v="2024-10-11T00:00:00"/>
    <d v="1899-12-30T14:52:15"/>
    <s v="Passed"/>
    <s v="Passed"/>
    <s v="knjuguna(Kamau Njuguna)"/>
    <s v="knjuguna(Kamau Njuguna)"/>
    <s v="Executed"/>
    <s v="Done"/>
    <s v="U1300 R6.4 - NIC3 - 03 Meter Time synchronisation to NIC - backward within interval (Auto)"/>
    <m/>
  </r>
  <r>
    <n v="158"/>
    <s v="L&amp;G 82-R64"/>
    <x v="3"/>
    <s v="004 - Time"/>
    <x v="5"/>
    <s v="1-Critical"/>
    <s v=" "/>
    <d v="2024-10-11T00:00:00"/>
    <d v="1899-12-30T15:48:30"/>
    <s v="Passed"/>
    <s v="Passed"/>
    <s v="knjuguna(Kamau Njuguna)"/>
    <s v="knjuguna(Kamau Njuguna)"/>
    <s v="Executed"/>
    <s v="Done"/>
    <s v="U1300 R6.4 - NIC3 - 04 Meter Time synchronisation to NIC - backward within interval (Force)"/>
    <m/>
  </r>
  <r>
    <n v="156"/>
    <s v="L&amp;G 82-R64"/>
    <x v="3"/>
    <s v="004 - Time"/>
    <x v="6"/>
    <s v="2-High"/>
    <s v=" "/>
    <d v="2024-10-11T00:00:00"/>
    <d v="1899-12-30T17:14:36"/>
    <s v="Passed"/>
    <s v="Passed"/>
    <s v="knjuguna(Kamau Njuguna)"/>
    <s v="knjuguna(Kamau Njuguna)"/>
    <s v="Executed"/>
    <s v="Done"/>
    <s v="U1300 R6.4 - NIC3 - 05 Meter Time synchronisation to NIC - forward crossing interval (Auto)"/>
    <m/>
  </r>
  <r>
    <n v="157"/>
    <s v="L&amp;G 82-R64"/>
    <x v="3"/>
    <s v="004 - Time"/>
    <x v="7"/>
    <s v="2-High"/>
    <s v=" "/>
    <d v="2024-10-14T00:00:00"/>
    <d v="1899-12-30T09:57:50"/>
    <s v="Passed"/>
    <s v="Passed"/>
    <s v="knjuguna(Kamau Njuguna)"/>
    <s v="knjuguna(Kamau Njuguna)"/>
    <s v="Executed"/>
    <s v="Done"/>
    <s v="U1300 R6.4 - NIC3 - 06 Meter Time synchronisation to NIC - forward crossing interval (Force)"/>
    <m/>
  </r>
  <r>
    <n v="159"/>
    <s v="L&amp;G 82-R64"/>
    <x v="3"/>
    <s v="004 - Time"/>
    <x v="8"/>
    <s v="2-High"/>
    <s v=" "/>
    <d v="2024-10-14T00:00:00"/>
    <d v="1899-12-30T11:20:13"/>
    <s v="Passed"/>
    <s v="Passed"/>
    <s v="knjuguna(Kamau Njuguna)"/>
    <s v="knjuguna(Kamau Njuguna)"/>
    <s v="Executed"/>
    <s v="Done"/>
    <s v="U1300 R6.4 - NIC3 - 07 Meter Time synchronisation to NIC - backward crossing interval (Auto)"/>
    <m/>
  </r>
  <r>
    <n v="964"/>
    <s v="L&amp;G 82-R64"/>
    <x v="3"/>
    <s v="004 - Time"/>
    <x v="9"/>
    <s v="2-High"/>
    <s v=" "/>
    <d v="2024-10-14T00:00:00"/>
    <d v="1899-12-30T13:11:41"/>
    <s v="Passed"/>
    <s v="Passed"/>
    <s v="knjuguna(Kamau Njuguna)"/>
    <s v="knjuguna(Kamau Njuguna)"/>
    <s v="Executed"/>
    <s v="Done"/>
    <s v="U1300 R6.4 - NIC3 - 08 Meter Time synchronisation to NIC - backward crossing interval (Force)"/>
    <m/>
  </r>
  <r>
    <n v="963"/>
    <s v="L&amp;G 82-R64"/>
    <x v="0"/>
    <s v="004 - Time"/>
    <x v="2"/>
    <s v="2-High"/>
    <s v=" "/>
    <d v="2024-10-01T00:00:00"/>
    <d v="1899-12-30T16:14:45"/>
    <s v="Passed"/>
    <s v="Passed"/>
    <s v="mkalra(Manoj Kalra)"/>
    <s v="mkalra(Manoj Kalra)"/>
    <s v="Executed"/>
    <s v="Done"/>
    <s v="U3400 R6.4 - NIC5 - 01 Meter Time synchronisation to NIC - forward within interval (Auto)"/>
    <m/>
  </r>
  <r>
    <n v="153"/>
    <s v="L&amp;G 82-R64"/>
    <x v="0"/>
    <s v="004 - Time"/>
    <x v="3"/>
    <s v="1-Critical"/>
    <s v=" "/>
    <d v="2024-10-02T00:00:00"/>
    <d v="1899-12-30T11:25:52"/>
    <s v="Passed"/>
    <s v="Passed"/>
    <s v="mkalra(Manoj Kalra)"/>
    <s v="mkalra(Manoj Kalra)"/>
    <s v="Executed"/>
    <s v="Done"/>
    <s v="U3400 R6.4 - NIC5 - 02 Meter Time synchronisation to NIC - forward within interval (Force)"/>
    <m/>
  </r>
  <r>
    <n v="154"/>
    <s v="L&amp;G 82-R64"/>
    <x v="0"/>
    <s v="004 - Time"/>
    <x v="4"/>
    <s v="2-High"/>
    <s v=" "/>
    <d v="2024-10-02T00:00:00"/>
    <d v="1899-12-30T13:43:00"/>
    <s v="Passed"/>
    <s v="Passed"/>
    <s v="mkalra(Manoj Kalra)"/>
    <s v="mkalra(Manoj Kalra)"/>
    <s v="Executed"/>
    <s v="Done"/>
    <s v="U3400 R6.4 - NIC5 - 03 Meter Time synchronisation to NIC - backward within interval (Auto)"/>
    <m/>
  </r>
  <r>
    <n v="158"/>
    <s v="L&amp;G 82-R64"/>
    <x v="0"/>
    <s v="004 - Time"/>
    <x v="5"/>
    <s v="1-Critical"/>
    <s v=" "/>
    <d v="2024-10-02T00:00:00"/>
    <d v="1899-12-30T14:37:22"/>
    <s v="Passed"/>
    <s v="Passed"/>
    <s v="mkalra(Manoj Kalra)"/>
    <s v="mkalra(Manoj Kalra)"/>
    <s v="Executed"/>
    <s v="Done"/>
    <s v="U3400 R6.4 - NIC5 - 04 Meter Time synchronisation to NIC - backward within interval (Force)"/>
    <m/>
  </r>
  <r>
    <n v="156"/>
    <s v="L&amp;G 82-R64"/>
    <x v="0"/>
    <s v="004 - Time"/>
    <x v="6"/>
    <s v="2-High"/>
    <s v=" "/>
    <d v="2024-10-02T00:00:00"/>
    <d v="1899-12-30T15:38:07"/>
    <s v="Passed"/>
    <s v="Passed"/>
    <s v="mkalra(Manoj Kalra)"/>
    <s v="mkalra(Manoj Kalra)"/>
    <s v="Executed"/>
    <s v="Done"/>
    <s v="U3400 R6.4 - NIC5 - 05 Meter Time synchronisation to NIC - forward crossing interval (Auto)"/>
    <m/>
  </r>
  <r>
    <n v="157"/>
    <s v="L&amp;G 82-R64"/>
    <x v="0"/>
    <s v="004 - Time"/>
    <x v="7"/>
    <s v="2-High"/>
    <s v=" "/>
    <d v="2024-10-03T00:00:00"/>
    <d v="1899-12-30T11:04:12"/>
    <s v="Passed"/>
    <s v="Passed"/>
    <s v="mkalra(Manoj Kalra)"/>
    <s v="mkalra(Manoj Kalra)"/>
    <s v="Executed"/>
    <s v="Done"/>
    <s v="U3400 R6.4 - NIC5 - 06 Meter Time synchronisation to NIC - forward crossing interval (Force)"/>
    <m/>
  </r>
  <r>
    <n v="159"/>
    <s v="L&amp;G 82-R64"/>
    <x v="0"/>
    <s v="004 - Time"/>
    <x v="8"/>
    <s v="2-High"/>
    <s v=" "/>
    <d v="2024-10-14T00:00:00"/>
    <d v="1899-12-30T16:20:58"/>
    <s v="Passed"/>
    <s v="Passed"/>
    <s v="mkalra(Manoj Kalra)"/>
    <s v="mkalra(Manoj Kalra)"/>
    <s v="Executed"/>
    <s v="Done"/>
    <s v="U3400 R6.4 - NIC5 - 07 Meter Time synchronisation to NIC - backward crossing interval (Auto)"/>
    <m/>
  </r>
  <r>
    <n v="964"/>
    <s v="L&amp;G 82-R64"/>
    <x v="0"/>
    <s v="004 - Time"/>
    <x v="9"/>
    <s v="2-High"/>
    <s v=" "/>
    <d v="2024-10-14T00:00:00"/>
    <d v="1899-12-30T16:21:49"/>
    <s v="Passed"/>
    <s v="Passed"/>
    <s v="mkalra(Manoj Kalra)"/>
    <s v="mkalra(Manoj Kalra)"/>
    <s v="Executed"/>
    <s v="Done"/>
    <s v="U3400 R6.4 - NIC5 - 08 Meter Time synchronisation to NIC - backward crossing interval (Force)"/>
    <m/>
  </r>
  <r>
    <n v="963"/>
    <s v="L&amp;G 82-R64"/>
    <x v="2"/>
    <s v="004 - Time"/>
    <x v="2"/>
    <s v="2-High"/>
    <s v=" "/>
    <d v="2024-10-11T00:00:00"/>
    <d v="1899-12-30T10:22:49"/>
    <s v="Passed"/>
    <s v="Passed"/>
    <s v="knjuguna(Kamau Njuguna)"/>
    <s v="knjuguna(Kamau Njuguna)"/>
    <s v="Executed"/>
    <s v="Done"/>
    <s v="U1300 R6.4 - NIC5 - 01 Meter Time synchronisation to NIC - forward within interval (Auto)"/>
    <m/>
  </r>
  <r>
    <n v="153"/>
    <s v="L&amp;G 82-R64"/>
    <x v="2"/>
    <s v="004 - Time"/>
    <x v="3"/>
    <s v="1-Critical"/>
    <s v=" "/>
    <d v="2024-10-11T00:00:00"/>
    <d v="1899-12-30T11:52:24"/>
    <s v="Passed"/>
    <s v="Passed"/>
    <s v="knjuguna(Kamau Njuguna)"/>
    <s v="knjuguna(Kamau Njuguna)"/>
    <s v="Executed"/>
    <s v="Done"/>
    <s v="U1300 R6.4 - NIC5 - 02 Meter Time synchronisation to NIC - forward within interval (Force)"/>
    <m/>
  </r>
  <r>
    <n v="154"/>
    <s v="L&amp;G 82-R64"/>
    <x v="2"/>
    <s v="004 - Time"/>
    <x v="4"/>
    <s v="2-High"/>
    <s v=" "/>
    <d v="2024-10-11T00:00:00"/>
    <d v="1899-12-30T14:43:10"/>
    <s v="Passed"/>
    <s v="Passed"/>
    <s v="knjuguna(Kamau Njuguna)"/>
    <s v="knjuguna(Kamau Njuguna)"/>
    <s v="Executed"/>
    <s v="Done"/>
    <s v="U1300 R6.4 - NIC5 - 03 Meter Time synchronisation to NIC - backward within interval (Auto)"/>
    <m/>
  </r>
  <r>
    <n v="158"/>
    <s v="L&amp;G 82-R64"/>
    <x v="2"/>
    <s v="004 - Time"/>
    <x v="5"/>
    <s v="1-Critical"/>
    <s v=" "/>
    <d v="2024-10-11T00:00:00"/>
    <d v="1899-12-30T15:51:44"/>
    <s v="Passed"/>
    <s v="Passed"/>
    <s v="knjuguna(Kamau Njuguna)"/>
    <s v="knjuguna(Kamau Njuguna)"/>
    <s v="Executed"/>
    <s v="Done"/>
    <s v="U1300 R6.4 - NIC5 - 04 Meter Time synchronisation to NIC - backward within interval (Force)"/>
    <m/>
  </r>
  <r>
    <n v="156"/>
    <s v="L&amp;G 82-R64"/>
    <x v="2"/>
    <s v="004 - Time"/>
    <x v="6"/>
    <s v="2-High"/>
    <s v=" "/>
    <d v="2024-10-11T00:00:00"/>
    <d v="1899-12-30T17:19:14"/>
    <s v="Passed"/>
    <s v="Passed"/>
    <s v="knjuguna(Kamau Njuguna)"/>
    <s v="knjuguna(Kamau Njuguna)"/>
    <s v="Executed"/>
    <s v="Done"/>
    <s v="U1300 R6.4 - NIC5 - 05 Meter Time synchronisation to NIC - forward crossing interval (Auto)"/>
    <m/>
  </r>
  <r>
    <n v="157"/>
    <s v="L&amp;G 82-R64"/>
    <x v="2"/>
    <s v="004 - Time"/>
    <x v="7"/>
    <s v="2-High"/>
    <s v=" "/>
    <d v="2024-10-14T00:00:00"/>
    <d v="1899-12-30T09:59:03"/>
    <s v="Passed"/>
    <s v="Passed"/>
    <s v="knjuguna(Kamau Njuguna)"/>
    <s v="knjuguna(Kamau Njuguna)"/>
    <s v="Executed"/>
    <s v="Done"/>
    <s v="U1300 R6.4 - NIC5 - 06 Meter Time synchronisation to NIC - forward crossing interval (Force)"/>
    <m/>
  </r>
  <r>
    <n v="159"/>
    <s v="L&amp;G 82-R64"/>
    <x v="2"/>
    <s v="004 - Time"/>
    <x v="8"/>
    <s v="2-High"/>
    <s v=" "/>
    <d v="2024-10-14T00:00:00"/>
    <d v="1899-12-30T11:32:51"/>
    <s v="Passed"/>
    <s v="Passed"/>
    <s v="knjuguna(Kamau Njuguna)"/>
    <s v="knjuguna(Kamau Njuguna)"/>
    <s v="Executed"/>
    <s v="Done"/>
    <s v="U1300 R6.4 - NIC5 - 07 Meter Time synchronisation to NIC - backward crossing interval (Auto)"/>
    <m/>
  </r>
  <r>
    <n v="964"/>
    <s v="L&amp;G 82-R64"/>
    <x v="2"/>
    <s v="004 - Time"/>
    <x v="9"/>
    <s v="2-High"/>
    <s v=" "/>
    <d v="2024-10-14T00:00:00"/>
    <d v="1899-12-30T13:15:02"/>
    <s v="Passed"/>
    <s v="Passed"/>
    <s v="knjuguna(Kamau Njuguna)"/>
    <s v="knjuguna(Kamau Njuguna)"/>
    <s v="Executed"/>
    <s v="Done"/>
    <s v="U1300 R6.4 - NIC5 - 08 Meter Time synchronisation to NIC - backward crossing interval (Force)"/>
    <m/>
  </r>
  <r>
    <n v="39"/>
    <s v="L&amp;G 82-R64"/>
    <x v="1"/>
    <s v="007 - Meter Firmware"/>
    <x v="10"/>
    <s v="1-Critical"/>
    <s v=" "/>
    <d v="2024-10-08T00:00:00"/>
    <d v="1899-12-30T10:10:49"/>
    <s v="Failed"/>
    <s v="Failed"/>
    <s v="mkalra(Manoj Kalra)"/>
    <s v="mkalra(Manoj Kalra)"/>
    <s v="Executed"/>
    <s v="Done"/>
    <s v="U3400 R6.4 - NIC3 - FWU meter firmware upgrade - (seedingpercent) percent seeded - Uninterrupted"/>
    <m/>
  </r>
  <r>
    <n v="1703"/>
    <s v="L&amp;G 82-R64"/>
    <x v="1"/>
    <s v="007 - Meter Firmware"/>
    <x v="11"/>
    <s v="1-Critical"/>
    <s v="This Test is performed on U1300 meter"/>
    <d v="2024-10-14T00:00:00"/>
    <d v="1899-12-30T16:29:03"/>
    <s v="Failed"/>
    <s v="RBT"/>
    <s v="mkalra(Manoj Kalra)"/>
    <s v="mkalra(Manoj Kalra)"/>
    <s v="RBT"/>
    <s v="Done"/>
    <s v="U3400 R6.4 - NIC3 - FWU meter firmware upgrade - (seedingpercent) percent seeded - Interrupted"/>
    <m/>
  </r>
  <r>
    <n v="38"/>
    <s v="L&amp;G 82-R64"/>
    <x v="1"/>
    <s v="007 - Meter Firmware"/>
    <x v="12"/>
    <s v="1-Critical"/>
    <s v=" "/>
    <d v="2024-10-04T00:00:00"/>
    <d v="1899-12-30T09:11:28"/>
    <s v="Passed"/>
    <s v="Passed"/>
    <s v="mkalra(Manoj Kalra)"/>
    <s v="mkalra(Manoj Kalra)"/>
    <s v="Executed"/>
    <s v="Done"/>
    <s v="U3400 R6.4 - NIC3 - Meter firmware audit"/>
    <m/>
  </r>
  <r>
    <n v="39"/>
    <s v="L&amp;G 82-R64"/>
    <x v="3"/>
    <s v="007 - Meter Firmware"/>
    <x v="10"/>
    <s v="1-Critical"/>
    <s v=" "/>
    <d v="2024-09-20T00:00:00"/>
    <d v="1899-12-30T11:00:12"/>
    <s v="Failed"/>
    <s v="Failed"/>
    <s v="knjuguna(Kamau Njuguna)"/>
    <s v="knjuguna(Kamau Njuguna)"/>
    <s v="Executed"/>
    <s v="Done"/>
    <s v="U1300 R6.4 - NIC3 - FWU meter firmware upgrade - (seedingpercent) percent seeded - Uninterrupted"/>
    <m/>
  </r>
  <r>
    <n v="1703"/>
    <s v="L&amp;G 82-R64"/>
    <x v="3"/>
    <s v="007 - Meter Firmware"/>
    <x v="11"/>
    <s v="1-Critical"/>
    <s v=" "/>
    <d v="2024-10-16T00:00:00"/>
    <d v="1899-12-30T09:32:24"/>
    <s v="Failed"/>
    <s v="Failed"/>
    <s v="knjuguna(Kamau Njuguna)"/>
    <s v="knjuguna(Kamau Njuguna)"/>
    <s v="Executed"/>
    <s v="Done"/>
    <s v="U1300 R6.4 - NIC3 - FWU meter firmware upgrade - (seedingpercent) percent seeded - Interrupted"/>
    <m/>
  </r>
  <r>
    <n v="38"/>
    <s v="L&amp;G 82-R64"/>
    <x v="3"/>
    <s v="007 - Meter Firmware"/>
    <x v="12"/>
    <s v="1-Critical"/>
    <s v=" "/>
    <d v="2024-09-20T00:00:00"/>
    <d v="1899-12-30T13:19:46"/>
    <s v="Passed"/>
    <s v="Passed"/>
    <s v="knjuguna(Kamau Njuguna)"/>
    <s v="knjuguna(Kamau Njuguna)"/>
    <s v="Executed"/>
    <s v="Done"/>
    <s v="U1300 R6.4 - NIC3 - Meter firmware audit"/>
    <m/>
  </r>
  <r>
    <n v="39"/>
    <s v="L&amp;G 82-R64"/>
    <x v="0"/>
    <s v="007 - Meter Firmware"/>
    <x v="10"/>
    <s v="1-Critical"/>
    <s v=" "/>
    <d v="2024-10-08T00:00:00"/>
    <d v="1899-12-30T10:11:46"/>
    <s v="Failed"/>
    <s v="Failed"/>
    <s v="mkalra(Manoj Kalra)"/>
    <s v="mkalra(Manoj Kalra)"/>
    <s v="Executed"/>
    <s v="Done"/>
    <s v="U3400 R6.4 - NIC5 - FWU meter firmware upgrade - (seedingpercent) percent seeded - Uninterrupted"/>
    <m/>
  </r>
  <r>
    <n v="1703"/>
    <s v="L&amp;G 82-R64"/>
    <x v="0"/>
    <s v="007 - Meter Firmware"/>
    <x v="11"/>
    <s v="1-Critical"/>
    <s v="This Test is performed on U1300 meter"/>
    <d v="2024-10-15T00:00:00"/>
    <d v="1899-12-30T10:45:37"/>
    <s v="Failed"/>
    <s v="RBT"/>
    <s v="mkalra(Manoj Kalra)"/>
    <s v="mkalra(Manoj Kalra)"/>
    <s v="RBT"/>
    <s v="Done"/>
    <s v="U3400 R6.4 - NIC5 - FWU meter firmware upgrade - (seedingpercent) percent seeded - Interrupted"/>
    <m/>
  </r>
  <r>
    <n v="38"/>
    <s v="L&amp;G 82-R64"/>
    <x v="0"/>
    <s v="007 - Meter Firmware"/>
    <x v="12"/>
    <s v="1-Critical"/>
    <s v=" "/>
    <d v="2024-10-04T00:00:00"/>
    <d v="1899-12-30T09:11:26"/>
    <s v="Passed"/>
    <s v="Passed"/>
    <s v="mkalra(Manoj Kalra)"/>
    <s v="mkalra(Manoj Kalra)"/>
    <s v="Executed"/>
    <s v="Done"/>
    <s v="U3400 R6.4 - NIC5 - Meter firmware audit"/>
    <m/>
  </r>
  <r>
    <n v="39"/>
    <s v="L&amp;G 82-R64"/>
    <x v="2"/>
    <s v="007 - Meter Firmware"/>
    <x v="10"/>
    <s v="1-Critical"/>
    <s v=" "/>
    <d v="2024-09-20T00:00:00"/>
    <d v="1899-12-30T11:21:00"/>
    <s v="Failed"/>
    <s v="Failed"/>
    <s v="knjuguna(Kamau Njuguna)"/>
    <s v="knjuguna(Kamau Njuguna)"/>
    <s v="Executed"/>
    <s v="Done"/>
    <s v="U1300 R6.4 - NIC5 - FWU meter firmware upgrade - (seedingpercent) percent seeded - Uninterrupted"/>
    <m/>
  </r>
  <r>
    <n v="1703"/>
    <s v="L&amp;G 82-R64"/>
    <x v="2"/>
    <s v="007 - Meter Firmware"/>
    <x v="11"/>
    <s v="1-Critical"/>
    <s v="NIC320 meter has been tested"/>
    <d v="2024-10-15T00:00:00"/>
    <d v="1899-12-30T11:51:33"/>
    <s v="Failed"/>
    <s v="RBT"/>
    <s v="knjuguna(Kamau Njuguna)"/>
    <s v="knjuguna(Kamau Njuguna)"/>
    <s v="RBT"/>
    <s v="Done"/>
    <s v="U1300 R6.4 - NIC5 - FWU meter firmware upgrade - (seedingpercent) percent seeded - Interrupted"/>
    <m/>
  </r>
  <r>
    <n v="38"/>
    <s v="L&amp;G 82-R64"/>
    <x v="2"/>
    <s v="007 - Meter Firmware"/>
    <x v="12"/>
    <s v="1-Critical"/>
    <s v=" "/>
    <d v="2024-09-20T00:00:00"/>
    <d v="1899-12-30T15:01:17"/>
    <s v="Passed"/>
    <s v="Passed"/>
    <s v="knjuguna(Kamau Njuguna)"/>
    <s v="knjuguna(Kamau Njuguna)"/>
    <s v="Executed"/>
    <s v="Done"/>
    <s v="U1300 R6.4 - NIC5 - Meter firmware audit"/>
    <m/>
  </r>
  <r>
    <n v="41"/>
    <s v="L&amp;G 82-R64"/>
    <x v="1"/>
    <s v="008 - Meter Program"/>
    <x v="13"/>
    <s v="1-Critical"/>
    <s v=" "/>
    <d v="2024-10-07T00:00:00"/>
    <d v="1899-12-30T15:36:34"/>
    <s v="Not Completed"/>
    <s v="Passed"/>
    <s v="mkalra(Manoj Kalra)"/>
    <s v="mkalra(Manoj Kalra)"/>
    <s v="Executed"/>
    <s v="Done"/>
    <s v="U3400 R6.4 - NIC3 - Meter Program -  Remote 1 - Load a full meter program (New Meter Program in UIQ)"/>
    <m/>
  </r>
  <r>
    <n v="42"/>
    <s v="L&amp;G 82-R64"/>
    <x v="1"/>
    <s v="008 - Meter Program"/>
    <x v="14"/>
    <s v="1-Critical"/>
    <s v=" "/>
    <d v="2024-10-08T00:00:00"/>
    <d v="1899-12-30T17:48:59"/>
    <s v="Passed"/>
    <s v="Passed"/>
    <s v="mkalra(Manoj Kalra)"/>
    <s v="mkalra(Manoj Kalra)"/>
    <s v="Executed"/>
    <s v="Done"/>
    <s v="U3400 R6.4 - NIC3 - Meter Program -  Remote 4 - Load a full meter program (Meter Program exists in UIQ)"/>
    <m/>
  </r>
  <r>
    <n v="61"/>
    <s v="L&amp;G 82-R64"/>
    <x v="1"/>
    <s v="008 - Meter Program"/>
    <x v="15"/>
    <s v="1-Critical"/>
    <s v=" "/>
    <d v="2024-09-30T00:00:00"/>
    <d v="1899-12-30T13:45:39"/>
    <s v="Not Completed"/>
    <s v="Passed"/>
    <s v="mkalra(Manoj Kalra)"/>
    <s v="mkalra(Manoj Kalra)"/>
    <s v="Executed"/>
    <s v="Done"/>
    <s v="U3400 R6.4 - NIC3 - Meter Program -  export events"/>
    <m/>
  </r>
  <r>
    <n v="40"/>
    <s v="L&amp;G 82-R64"/>
    <x v="1"/>
    <s v="008 - Meter Program"/>
    <x v="16"/>
    <s v="1-Critical"/>
    <s v=" "/>
    <d v="2024-10-07T00:00:00"/>
    <d v="1899-12-30T16:00:21"/>
    <s v="Passed"/>
    <s v="Passed"/>
    <s v="mkalra(Manoj Kalra)"/>
    <s v="mkalra(Manoj Kalra)"/>
    <s v="Executed"/>
    <s v="Done"/>
    <s v="U3400 R6.4 - NIC3 - Meter program audit"/>
    <m/>
  </r>
  <r>
    <n v="41"/>
    <s v="L&amp;G 82-R64"/>
    <x v="3"/>
    <s v="008 - Meter Program"/>
    <x v="13"/>
    <s v="1-Critical"/>
    <s v=" "/>
    <d v="2024-10-03T00:00:00"/>
    <d v="1899-12-30T14:48:56"/>
    <s v="Not Completed"/>
    <s v="Failed"/>
    <s v="knjuguna(Kamau Njuguna)"/>
    <s v="knjuguna(Kamau Njuguna)"/>
    <s v="Executed"/>
    <s v="Done"/>
    <s v="U1300 R6.4 - NIC3 - Meter Program -  Remote 1 - Load a full meter program (New Meter Program in UIQ)"/>
    <m/>
  </r>
  <r>
    <n v="42"/>
    <s v="L&amp;G 82-R64"/>
    <x v="3"/>
    <s v="008 - Meter Program"/>
    <x v="14"/>
    <s v="1-Critical"/>
    <s v=" "/>
    <d v="2024-10-03T00:00:00"/>
    <d v="1899-12-30T15:58:35"/>
    <s v="Passed"/>
    <s v="Failed"/>
    <s v="knjuguna(Kamau Njuguna)"/>
    <s v="knjuguna(Kamau Njuguna)"/>
    <s v="Executed"/>
    <s v="Done"/>
    <s v="U1300 R6.4 - NIC3 - Meter Program -  Remote 4 - Load a full meter program (Meter Program exists in UIQ)"/>
    <m/>
  </r>
  <r>
    <n v="61"/>
    <s v="L&amp;G 82-R64"/>
    <x v="3"/>
    <s v="008 - Meter Program"/>
    <x v="15"/>
    <s v="1-Critical"/>
    <s v=" "/>
    <d v="2024-10-14T00:00:00"/>
    <d v="1899-12-30T13:38:35"/>
    <s v="Not Completed"/>
    <s v="Not Completed"/>
    <s v="knjuguna(Kamau Njuguna)"/>
    <s v="knjuguna(Kamau Njuguna)"/>
    <s v="Executed"/>
    <s v="Unfinished"/>
    <s v="U1300 R6.4 - NIC3 - Meter Program -  export events"/>
    <m/>
  </r>
  <r>
    <n v="40"/>
    <s v="L&amp;G 82-R64"/>
    <x v="3"/>
    <s v="008 - Meter Program"/>
    <x v="16"/>
    <s v="1-Critical"/>
    <s v=" "/>
    <d v="2024-10-01T00:00:00"/>
    <d v="1899-12-30T16:41:49"/>
    <s v="Passed"/>
    <s v="Failed"/>
    <s v="knjuguna(Kamau Njuguna)"/>
    <s v="knjuguna(Kamau Njuguna)"/>
    <s v="Executed"/>
    <s v="Done"/>
    <s v="U1300 R6.4 - NIC3 - Meter program audit"/>
    <m/>
  </r>
  <r>
    <n v="41"/>
    <s v="L&amp;G 82-R64"/>
    <x v="0"/>
    <s v="008 - Meter Program"/>
    <x v="13"/>
    <s v="1-Critical"/>
    <s v=" "/>
    <d v="2024-10-07T00:00:00"/>
    <d v="1899-12-30T15:07:21"/>
    <s v="Not Completed"/>
    <s v="Passed"/>
    <s v="mkalra(Manoj Kalra)"/>
    <s v="mkalra(Manoj Kalra)"/>
    <s v="Executed"/>
    <s v="Done"/>
    <s v="U3400 R6.4 - NIC5 - Meter Program -  Remote 1 - Load a full meter program (New Meter Program in UIQ)"/>
    <m/>
  </r>
  <r>
    <n v="42"/>
    <s v="L&amp;G 82-R64"/>
    <x v="0"/>
    <s v="008 - Meter Program"/>
    <x v="14"/>
    <s v="1-Critical"/>
    <s v=" "/>
    <d v="2024-10-08T00:00:00"/>
    <d v="1899-12-30T17:49:01"/>
    <s v="Passed"/>
    <s v="Passed"/>
    <s v="mkalra(Manoj Kalra)"/>
    <s v="mkalra(Manoj Kalra)"/>
    <s v="Executed"/>
    <s v="Done"/>
    <s v="U3400 R6.4 - NIC5 - Meter Program -  Remote 4 - Load a full meter program (Meter Program exists in UIQ)"/>
    <m/>
  </r>
  <r>
    <n v="61"/>
    <s v="L&amp;G 82-R64"/>
    <x v="0"/>
    <s v="008 - Meter Program"/>
    <x v="15"/>
    <s v="1-Critical"/>
    <s v=" "/>
    <d v="2024-09-30T00:00:00"/>
    <d v="1899-12-30T13:34:27"/>
    <s v="Not Completed"/>
    <s v="Passed"/>
    <s v="mkalra(Manoj Kalra)"/>
    <s v="mkalra(Manoj Kalra)"/>
    <s v="Executed"/>
    <s v="Done"/>
    <s v="U3400 R6.4 - NIC5 - Meter Program -  export events"/>
    <m/>
  </r>
  <r>
    <n v="40"/>
    <s v="L&amp;G 82-R64"/>
    <x v="0"/>
    <s v="008 - Meter Program"/>
    <x v="16"/>
    <s v="1-Critical"/>
    <s v=" "/>
    <d v="2024-10-07T00:00:00"/>
    <d v="1899-12-30T16:00:18"/>
    <s v="Passed"/>
    <s v="Passed"/>
    <s v="mkalra(Manoj Kalra)"/>
    <s v="mkalra(Manoj Kalra)"/>
    <s v="Executed"/>
    <s v="Done"/>
    <s v="U3400 R6.4 - NIC5 - Meter program audit"/>
    <m/>
  </r>
  <r>
    <n v="41"/>
    <s v="L&amp;G 82-R64"/>
    <x v="2"/>
    <s v="008 - Meter Program"/>
    <x v="13"/>
    <s v="1-Critical"/>
    <s v=" "/>
    <d v="2024-10-03T00:00:00"/>
    <d v="1899-12-30T14:40:54"/>
    <s v="Not Completed"/>
    <s v="Failed"/>
    <s v="knjuguna(Kamau Njuguna)"/>
    <s v="knjuguna(Kamau Njuguna)"/>
    <s v="Executed"/>
    <s v="Done"/>
    <s v="U1300 R6.4 - NIC5 - Meter Program -  Remote 1 - Load a full meter program (New Meter Program in UIQ)"/>
    <m/>
  </r>
  <r>
    <n v="42"/>
    <s v="L&amp;G 82-R64"/>
    <x v="2"/>
    <s v="008 - Meter Program"/>
    <x v="14"/>
    <s v="1-Critical"/>
    <s v=" "/>
    <d v="2024-10-03T00:00:00"/>
    <d v="1899-12-30T16:31:50"/>
    <s v="Passed"/>
    <s v="Failed"/>
    <s v="knjuguna(Kamau Njuguna)"/>
    <s v="knjuguna(Kamau Njuguna)"/>
    <s v="Executed"/>
    <s v="Done"/>
    <s v="U1300 R6.4 - NIC5 - Meter Program -  Remote 4 - Load a full meter program (Meter Program exists in UIQ)"/>
    <m/>
  </r>
  <r>
    <n v="61"/>
    <s v="L&amp;G 82-R64"/>
    <x v="2"/>
    <s v="008 - Meter Program"/>
    <x v="15"/>
    <s v="1-Critical"/>
    <s v=" "/>
    <d v="2024-10-15T00:00:00"/>
    <d v="1899-12-30T15:42:55"/>
    <s v="Not Completed"/>
    <s v="Not Completed"/>
    <s v="knjuguna(Kamau Njuguna)"/>
    <s v="knjuguna(Kamau Njuguna)"/>
    <s v="Executed"/>
    <s v="Unfinished"/>
    <s v="U1300 R6.4 - NIC5 - Meter Program -  export events"/>
    <m/>
  </r>
  <r>
    <n v="40"/>
    <s v="L&amp;G 82-R64"/>
    <x v="2"/>
    <s v="008 - Meter Program"/>
    <x v="16"/>
    <s v="1-Critical"/>
    <s v=" "/>
    <d v="2024-10-01T00:00:00"/>
    <d v="1899-12-30T16:43:43"/>
    <s v="Passed"/>
    <s v="Failed"/>
    <s v="knjuguna(Kamau Njuguna)"/>
    <s v="knjuguna(Kamau Njuguna)"/>
    <s v="Executed"/>
    <s v="Done"/>
    <s v="U1300 R6.4 - NIC5 - Meter program audit"/>
    <m/>
  </r>
  <r>
    <n v="141"/>
    <s v="L&amp;G 82-R64"/>
    <x v="0"/>
    <s v="008 - Meter Program"/>
    <x v="17"/>
    <s v="1-Critical"/>
    <s v=" "/>
    <d v="2024-09-30T00:00:00"/>
    <d v="1899-12-30T10:32:25"/>
    <s v="Passed"/>
    <s v="Passed"/>
    <s v="mkalra(Manoj Kalra)"/>
    <s v="mkalra(Manoj Kalra)"/>
    <s v="Executed"/>
    <s v="Done"/>
    <s v="U3400 R6.4 - NIC5 - Meter Program -  NIC program seal"/>
    <m/>
  </r>
  <r>
    <n v="141"/>
    <s v="L&amp;G 82-R64"/>
    <x v="3"/>
    <s v="008 - Meter Program"/>
    <x v="17"/>
    <s v="1-Critical"/>
    <s v=" "/>
    <d v="2024-10-09T00:00:00"/>
    <d v="1899-12-30T15:55:26"/>
    <s v="Passed"/>
    <s v="Passed"/>
    <s v="knjuguna(Kamau Njuguna)"/>
    <s v="knjuguna(Kamau Njuguna)"/>
    <s v="Executed"/>
    <s v="Done"/>
    <s v="U1300 R6.4 - NIC3 - Meter Program -  NIC program seal"/>
    <m/>
  </r>
  <r>
    <n v="141"/>
    <s v="L&amp;G 82-R64"/>
    <x v="2"/>
    <s v="008 - Meter Program"/>
    <x v="17"/>
    <s v="1-Critical"/>
    <s v=" "/>
    <d v="2024-10-09T00:00:00"/>
    <d v="1899-12-30T16:00:15"/>
    <s v="Passed"/>
    <s v="Passed"/>
    <s v="knjuguna(Kamau Njuguna)"/>
    <s v="knjuguna(Kamau Njuguna)"/>
    <s v="Executed"/>
    <s v="Done"/>
    <s v="U1300 R6.4 - NIC5 - Meter Program -  NIC program seal"/>
    <m/>
  </r>
  <r>
    <n v="141"/>
    <s v="L&amp;G 82-R64"/>
    <x v="1"/>
    <s v="008 - Meter Program"/>
    <x v="17"/>
    <s v="1-Critical"/>
    <s v=" "/>
    <d v="2024-09-30T00:00:00"/>
    <d v="1899-12-30T10:32:21"/>
    <s v="Passed"/>
    <s v="Passed"/>
    <s v="mkalra(Manoj Kalra)"/>
    <s v="mkalra(Manoj Kalra)"/>
    <s v="Executed"/>
    <s v="Done"/>
    <s v="U3400 R6.4 - NIC3 - Meter Program -  NIC program seal"/>
    <m/>
  </r>
  <r>
    <n v="140"/>
    <s v="L&amp;G 82-R64"/>
    <x v="0"/>
    <s v="008 - Meter Program"/>
    <x v="18"/>
    <s v="1-Critical"/>
    <s v=" "/>
    <d v="2024-09-24T00:00:00"/>
    <d v="1899-12-30T17:17:01"/>
    <s v="RBT"/>
    <s v="RBT"/>
    <s v="mkalra(Manoj Kalra)"/>
    <s v="mkalra(Manoj Kalra)"/>
    <s v="RBT"/>
    <s v="Done"/>
    <s v="U3400 R6.4 - NIC5 - Meter Program -  Partial programming (Remote)"/>
    <m/>
  </r>
  <r>
    <n v="140"/>
    <s v="L&amp;G 82-R64"/>
    <x v="1"/>
    <s v="008 - Meter Program"/>
    <x v="18"/>
    <s v="1-Critical"/>
    <s v=" "/>
    <d v="2024-09-24T00:00:00"/>
    <d v="1899-12-30T17:16:10"/>
    <s v="RBT"/>
    <s v="RBT"/>
    <s v="mkalra(Manoj Kalra)"/>
    <s v="mkalra(Manoj Kalra)"/>
    <s v="RBT"/>
    <s v="Done"/>
    <s v="U3400 R6.4 - NIC3 - Meter Program -  Partial programming (Remote)"/>
    <m/>
  </r>
  <r>
    <n v="140"/>
    <s v="L&amp;G 82-R64"/>
    <x v="2"/>
    <s v="008 - Meter Program"/>
    <x v="18"/>
    <s v="1-Critical"/>
    <s v=" "/>
    <d v="2024-09-24T00:00:00"/>
    <d v="1899-12-30T17:14:49"/>
    <s v="RBT"/>
    <s v="RBT"/>
    <s v="mkalra(Manoj Kalra)"/>
    <s v="knjuguna(Kamau Njuguna)"/>
    <s v="RBT"/>
    <s v="Done"/>
    <s v="U1300 R6.4 - NIC5 - Meter Program -  Partial programming (Remote)"/>
    <m/>
  </r>
  <r>
    <n v="140"/>
    <s v="L&amp;G 82-R64"/>
    <x v="3"/>
    <s v="008 - Meter Program"/>
    <x v="18"/>
    <s v="1-Critical"/>
    <s v=" "/>
    <d v="2024-09-24T00:00:00"/>
    <d v="1899-12-30T17:14:19"/>
    <s v="RBT"/>
    <s v="RBT"/>
    <s v="mkalra(Manoj Kalra)"/>
    <s v="knjuguna(Kamau Njuguna)"/>
    <s v="RBT"/>
    <s v="Done"/>
    <s v="U1300 R6.4 - NIC3 - Meter Program -  Partial programming (Remote)"/>
    <m/>
  </r>
  <r>
    <n v="1770"/>
    <s v="L&amp;G 82-R64"/>
    <x v="3"/>
    <s v="008A - Meter Program Tests"/>
    <x v="19"/>
    <s v="3-Medium"/>
    <s v=" "/>
    <d v="2024-10-10T00:00:00"/>
    <d v="1899-12-30T16:00:22"/>
    <s v="Not Completed"/>
    <s v="Passed"/>
    <s v="knjuguna(Kamau Njuguna)"/>
    <s v="knjuguna(Kamau Njuguna)"/>
    <s v="Executed"/>
    <s v="Done"/>
    <s v="U1300 R6.4 - NIC3 - L&amp;G_LP_Enable"/>
    <m/>
  </r>
  <r>
    <n v="1770"/>
    <s v="L&amp;G 82-R64"/>
    <x v="2"/>
    <s v="008A - Meter Program Tests"/>
    <x v="19"/>
    <s v="3-Medium"/>
    <s v=" "/>
    <d v="2024-10-10T00:00:00"/>
    <d v="1899-12-30T16:00:35"/>
    <s v="Not Completed"/>
    <s v="Passed"/>
    <s v="knjuguna(Kamau Njuguna)"/>
    <s v="knjuguna(Kamau Njuguna)"/>
    <s v="Executed"/>
    <s v="Done"/>
    <s v="U1300 R6.4 - NIC5 - L&amp;G_LP_Enable"/>
    <m/>
  </r>
  <r>
    <n v="1770"/>
    <s v="L&amp;G 82-R64"/>
    <x v="1"/>
    <s v="008A - Meter Program Tests"/>
    <x v="19"/>
    <s v="3-Medium"/>
    <s v=" "/>
    <d v="2024-10-14T00:00:00"/>
    <d v="1899-12-30T16:17:10"/>
    <s v="Not Completed"/>
    <s v="Passed"/>
    <s v="mkalra(Manoj Kalra)"/>
    <s v="mkalra(Manoj Kalra)"/>
    <s v="Executed"/>
    <s v="Done"/>
    <s v="U3400 R6.4 - NIC3 - L&amp;G_LP_Enable"/>
    <m/>
  </r>
  <r>
    <n v="1770"/>
    <s v="L&amp;G 82-R64"/>
    <x v="0"/>
    <s v="008A - Meter Program Tests"/>
    <x v="19"/>
    <s v="3-Medium"/>
    <s v=" "/>
    <d v="2024-09-26T00:00:00"/>
    <d v="1899-12-30T14:17:00"/>
    <s v="Not Completed"/>
    <s v="Passed"/>
    <s v="mkalra(Manoj Kalra)"/>
    <s v="mkalra(Manoj Kalra)"/>
    <s v="Executed"/>
    <s v="Done"/>
    <s v="U3400 R6.4 - NIC5 - L&amp;G_LP_Enable"/>
    <m/>
  </r>
  <r>
    <n v="111"/>
    <s v="L&amp;G 82-R64"/>
    <x v="1"/>
    <s v="009 - Metrology"/>
    <x v="20"/>
    <s v="1-Critical"/>
    <s v="Report from L&amp;G is used for this test."/>
    <d v="2024-10-14T00:00:00"/>
    <d v="1899-12-30T10:58:19"/>
    <s v="Deferred"/>
    <s v="Deferred"/>
    <s v="mkalra(Manoj Kalra)"/>
    <s v="mkalra(Manoj Kalra)"/>
    <s v="Executed"/>
    <s v="-"/>
    <s v="U3400 R6.4 - NIC3 - Meter Accuracy"/>
    <m/>
  </r>
  <r>
    <n v="1709"/>
    <s v="L&amp;G 82-R64"/>
    <x v="1"/>
    <s v="009 - Metrology"/>
    <x v="21"/>
    <s v="1-Critical"/>
    <s v=" "/>
    <d v="2024-10-11T00:00:00"/>
    <d v="1899-12-30T14:50:14"/>
    <s v="Passed"/>
    <s v="Passed"/>
    <s v="mkalra(Manoj Kalra)"/>
    <s v="mkalra(Manoj Kalra)"/>
    <s v="Executed"/>
    <s v="Done"/>
    <s v="U3400 R6.4 - NIC3 - Meter Data Integrity - Meter to UIQ (Full)"/>
    <m/>
  </r>
  <r>
    <n v="66"/>
    <s v="L&amp;G 82-R64"/>
    <x v="1"/>
    <s v="009 - Metrology"/>
    <x v="22"/>
    <s v="1-Critical"/>
    <s v=" "/>
    <d v="2024-09-25T00:00:00"/>
    <d v="1899-12-30T14:02:41"/>
    <s v="Passed"/>
    <s v="Passed"/>
    <s v="mkalra(Manoj Kalra)"/>
    <s v="mkalra(Manoj Kalra)"/>
    <s v="Executed"/>
    <s v="Done"/>
    <s v="U3400 R6.4 - NIC3 - AMM - On Demand Read - C1219 Read"/>
    <m/>
  </r>
  <r>
    <n v="63"/>
    <s v="L&amp;G 82-R64"/>
    <x v="1"/>
    <s v="009 - Metrology"/>
    <x v="23"/>
    <s v="1-Critical"/>
    <s v=" "/>
    <d v="2024-09-25T00:00:00"/>
    <d v="1899-12-30T14:15:11"/>
    <s v="Passed"/>
    <s v="Passed"/>
    <s v="mkalra(Manoj Kalra)"/>
    <s v="mkalra(Manoj Kalra)"/>
    <s v="Executed"/>
    <s v="Done"/>
    <s v="U3400 R6.4 - NIC3 - AMM - On Demand Read - Interval"/>
    <m/>
  </r>
  <r>
    <n v="62"/>
    <s v="L&amp;G 82-R64"/>
    <x v="1"/>
    <s v="009 - Metrology"/>
    <x v="24"/>
    <s v="1-Critical"/>
    <s v=" "/>
    <d v="2024-09-25T00:00:00"/>
    <d v="1899-12-30T15:53:04"/>
    <s v="Passed"/>
    <s v="Passed"/>
    <s v="mkalra(Manoj Kalra)"/>
    <s v="mkalra(Manoj Kalra)"/>
    <s v="Executed"/>
    <s v="Done"/>
    <s v="U3400 R6.4 - NIC3 - AMM - On Demand Read - New Data"/>
    <m/>
  </r>
  <r>
    <n v="64"/>
    <s v="L&amp;G 82-R64"/>
    <x v="1"/>
    <s v="009 - Metrology"/>
    <x v="25"/>
    <s v="1-Critical"/>
    <s v=" "/>
    <d v="2024-09-25T00:00:00"/>
    <d v="1899-12-30T17:08:37"/>
    <s v="Passed"/>
    <s v="Passed"/>
    <s v="mkalra(Manoj Kalra)"/>
    <s v="mkalra(Manoj Kalra)"/>
    <s v="Executed"/>
    <s v="Done"/>
    <s v="U3400 R6.4 - NIC3 - AMM - On Demand Read - Register"/>
    <m/>
  </r>
  <r>
    <n v="65"/>
    <s v="L&amp;G 82-R64"/>
    <x v="1"/>
    <s v="009 - Metrology"/>
    <x v="26"/>
    <s v="1-Critical"/>
    <s v=" "/>
    <d v="2024-09-26T00:00:00"/>
    <d v="1899-12-30T10:32:35"/>
    <s v="Passed"/>
    <s v="Passed"/>
    <s v="mkalra(Manoj Kalra)"/>
    <s v="mkalra(Manoj Kalra)"/>
    <s v="Executed"/>
    <s v="Done"/>
    <s v="U3400 R6.4 - NIC3 - AMM - On Demand Read - Stored Self Read"/>
    <m/>
  </r>
  <r>
    <n v="59"/>
    <s v="L&amp;G 82-R64"/>
    <x v="1"/>
    <s v="009 - Metrology"/>
    <x v="27"/>
    <s v="1-Critical"/>
    <s v=" "/>
    <d v="2024-10-14T00:00:00"/>
    <d v="1899-12-30T12:52:56"/>
    <s v="Passed"/>
    <s v="Passed"/>
    <s v="mkalra(Manoj Kalra)"/>
    <s v="mkalra(Manoj Kalra)"/>
    <s v="Executed"/>
    <s v="Done"/>
    <s v="U3400 R6.4 - NIC3 - Meter Data Integrity -  AMM export"/>
    <m/>
  </r>
  <r>
    <n v="58"/>
    <s v="L&amp;G 82-R64"/>
    <x v="1"/>
    <s v="009 - Metrology"/>
    <x v="28"/>
    <s v="1-Critical"/>
    <s v="MOG group will be doing this test for R64"/>
    <d v="2024-10-15T00:00:00"/>
    <d v="1899-12-30T11:02:40"/>
    <s v="RBT"/>
    <s v="RBT"/>
    <s v="mkalra(Manoj Kalra)"/>
    <s v="mkalra(Manoj Kalra)"/>
    <s v="RBT"/>
    <s v="Done"/>
    <s v="U3400 R6.4 - NIC3 - Meter Data Integrity -  EBQK"/>
    <m/>
  </r>
  <r>
    <n v="111"/>
    <s v="L&amp;G 82-R64"/>
    <x v="3"/>
    <s v="009 - Metrology"/>
    <x v="20"/>
    <s v="1-Critical"/>
    <s v=" "/>
    <d v="2024-10-16T00:00:00"/>
    <d v="1899-12-30T15:37:48"/>
    <s v="Deferred"/>
    <s v="Not Completed"/>
    <s v="knjuguna(Kamau Njuguna)"/>
    <s v="knjuguna(Kamau Njuguna)"/>
    <s v="Executed"/>
    <s v="Unfinished"/>
    <s v="U1300 R6.4 - NIC3 - Meter Accuracy"/>
    <m/>
  </r>
  <r>
    <n v="1709"/>
    <s v="L&amp;G 82-R64"/>
    <x v="3"/>
    <s v="009 - Metrology"/>
    <x v="21"/>
    <s v="1-Critical"/>
    <s v=" "/>
    <d v="2024-10-01T00:00:00"/>
    <d v="1899-12-30T13:51:42"/>
    <s v="Passed"/>
    <s v="Passed"/>
    <s v="knjuguna(Kamau Njuguna)"/>
    <s v="knjuguna(Kamau Njuguna)"/>
    <s v="Executed"/>
    <s v="Done"/>
    <s v="U1300 R6.4 - NIC3 - Meter Data Integrity - Meter to UIQ (Full)"/>
    <m/>
  </r>
  <r>
    <n v="66"/>
    <s v="L&amp;G 82-R64"/>
    <x v="3"/>
    <s v="009 - Metrology"/>
    <x v="22"/>
    <s v="1-Critical"/>
    <s v=" "/>
    <d v="2024-09-24T00:00:00"/>
    <d v="1899-12-30T08:37:39"/>
    <s v="Passed"/>
    <s v="Passed"/>
    <s v="knjuguna(Kamau Njuguna)"/>
    <s v="knjuguna(Kamau Njuguna)"/>
    <s v="Executed"/>
    <s v="Done"/>
    <s v="U1300 R6.4 - NIC3 - AMM - On Demand Read - C1219 Read"/>
    <m/>
  </r>
  <r>
    <n v="63"/>
    <s v="L&amp;G 82-R64"/>
    <x v="3"/>
    <s v="009 - Metrology"/>
    <x v="23"/>
    <s v="1-Critical"/>
    <s v=" "/>
    <d v="2024-09-24T00:00:00"/>
    <d v="1899-12-30T08:42:20"/>
    <s v="Passed"/>
    <s v="Passed"/>
    <s v="knjuguna(Kamau Njuguna)"/>
    <s v="knjuguna(Kamau Njuguna)"/>
    <s v="Executed"/>
    <s v="Done"/>
    <s v="U1300 R6.4 - NIC3 - AMM - On Demand Read - Interval"/>
    <m/>
  </r>
  <r>
    <n v="62"/>
    <s v="L&amp;G 82-R64"/>
    <x v="3"/>
    <s v="009 - Metrology"/>
    <x v="24"/>
    <s v="1-Critical"/>
    <s v=" "/>
    <d v="2024-09-24T00:00:00"/>
    <d v="1899-12-30T09:14:33"/>
    <s v="Passed"/>
    <s v="Passed"/>
    <s v="knjuguna(Kamau Njuguna)"/>
    <s v="knjuguna(Kamau Njuguna)"/>
    <s v="Executed"/>
    <s v="Done"/>
    <s v="U1300 R6.4 - NIC3 - AMM - On Demand Read - New Data"/>
    <m/>
  </r>
  <r>
    <n v="64"/>
    <s v="L&amp;G 82-R64"/>
    <x v="3"/>
    <s v="009 - Metrology"/>
    <x v="25"/>
    <s v="1-Critical"/>
    <s v=" "/>
    <d v="2024-09-24T00:00:00"/>
    <d v="1899-12-30T09:21:47"/>
    <s v="Passed"/>
    <s v="Passed"/>
    <s v="knjuguna(Kamau Njuguna)"/>
    <s v="knjuguna(Kamau Njuguna)"/>
    <s v="Executed"/>
    <s v="Done"/>
    <s v="U1300 R6.4 - NIC3 - AMM - On Demand Read - Register"/>
    <m/>
  </r>
  <r>
    <n v="65"/>
    <s v="L&amp;G 82-R64"/>
    <x v="3"/>
    <s v="009 - Metrology"/>
    <x v="26"/>
    <s v="1-Critical"/>
    <s v=" "/>
    <d v="2024-09-24T00:00:00"/>
    <d v="1899-12-30T10:16:12"/>
    <s v="Passed"/>
    <s v="Passed"/>
    <s v="knjuguna(Kamau Njuguna)"/>
    <s v="knjuguna(Kamau Njuguna)"/>
    <s v="Executed"/>
    <s v="Done"/>
    <s v="U1300 R6.4 - NIC3 - AMM - On Demand Read - Stored Self Read"/>
    <m/>
  </r>
  <r>
    <n v="59"/>
    <s v="L&amp;G 82-R64"/>
    <x v="3"/>
    <s v="009 - Metrology"/>
    <x v="27"/>
    <s v="1-Critical"/>
    <s v=" "/>
    <d v="2024-10-07T00:00:00"/>
    <d v="1899-12-30T10:39:19"/>
    <s v="Passed"/>
    <s v="Passed"/>
    <s v="knjuguna(Kamau Njuguna)"/>
    <s v="knjuguna(Kamau Njuguna)"/>
    <s v="Executed"/>
    <s v="Done"/>
    <s v="U1300 R6.4 - NIC3 - Meter Data Integrity -  AMM export"/>
    <m/>
  </r>
  <r>
    <n v="58"/>
    <s v="L&amp;G 82-R64"/>
    <x v="3"/>
    <s v="009 - Metrology"/>
    <x v="28"/>
    <s v="1-Critical"/>
    <s v="To be covered under meter accuracy test"/>
    <d v="2024-10-15T00:00:00"/>
    <d v="1899-12-30T11:55:24"/>
    <s v="RBT"/>
    <s v="RBT"/>
    <s v="knjuguna(Kamau Njuguna)"/>
    <s v="knjuguna(Kamau Njuguna)"/>
    <s v="RBT"/>
    <s v="Done"/>
    <s v="U1300 R6.4 - NIC3 - Meter Data Integrity -  EBQK"/>
    <m/>
  </r>
  <r>
    <n v="111"/>
    <s v="L&amp;G 82-R64"/>
    <x v="0"/>
    <s v="009 - Metrology"/>
    <x v="20"/>
    <s v="1-Critical"/>
    <s v="Report from L&amp;G is used for this test."/>
    <d v="2024-10-14T00:00:00"/>
    <d v="1899-12-30T10:58:26"/>
    <s v="Deferred"/>
    <s v="Deferred"/>
    <s v="mkalra(Manoj Kalra)"/>
    <s v="mkalra(Manoj Kalra)"/>
    <s v="Executed"/>
    <s v="-"/>
    <s v="U3400 R6.4 - NIC5 - Meter Accuracy"/>
    <m/>
  </r>
  <r>
    <n v="1709"/>
    <s v="L&amp;G 82-R64"/>
    <x v="0"/>
    <s v="009 - Metrology"/>
    <x v="21"/>
    <s v="1-Critical"/>
    <s v=" "/>
    <d v="2024-10-11T00:00:00"/>
    <d v="1899-12-30T15:02:59"/>
    <s v="Passed"/>
    <s v="Passed"/>
    <s v="mkalra(Manoj Kalra)"/>
    <s v="mkalra(Manoj Kalra)"/>
    <s v="Executed"/>
    <s v="Done"/>
    <s v="U3400 R6.4 - NIC5 - Meter Data Integrity - Meter to UIQ (Full)"/>
    <m/>
  </r>
  <r>
    <n v="66"/>
    <s v="L&amp;G 82-R64"/>
    <x v="0"/>
    <s v="009 - Metrology"/>
    <x v="22"/>
    <s v="1-Critical"/>
    <s v=" "/>
    <d v="2024-09-25T00:00:00"/>
    <d v="1899-12-30T14:02:46"/>
    <s v="Passed"/>
    <s v="Passed"/>
    <s v="mkalra(Manoj Kalra)"/>
    <s v="mkalra(Manoj Kalra)"/>
    <s v="Executed"/>
    <s v="Done"/>
    <s v="U3400 R6.4 - NIC5 - AMM - On Demand Read - C1219 Read"/>
    <m/>
  </r>
  <r>
    <n v="63"/>
    <s v="L&amp;G 82-R64"/>
    <x v="0"/>
    <s v="009 - Metrology"/>
    <x v="23"/>
    <s v="1-Critical"/>
    <s v=" "/>
    <d v="2024-09-25T00:00:00"/>
    <d v="1899-12-30T14:15:14"/>
    <s v="Passed"/>
    <s v="Passed"/>
    <s v="mkalra(Manoj Kalra)"/>
    <s v="mkalra(Manoj Kalra)"/>
    <s v="Executed"/>
    <s v="Done"/>
    <s v="U3400 R6.4 - NIC5 - AMM - On Demand Read - Interval"/>
    <m/>
  </r>
  <r>
    <n v="62"/>
    <s v="L&amp;G 82-R64"/>
    <x v="0"/>
    <s v="009 - Metrology"/>
    <x v="24"/>
    <s v="1-Critical"/>
    <s v=" "/>
    <d v="2024-09-25T00:00:00"/>
    <d v="1899-12-30T15:53:08"/>
    <s v="Passed"/>
    <s v="Passed"/>
    <s v="mkalra(Manoj Kalra)"/>
    <s v="mkalra(Manoj Kalra)"/>
    <s v="Executed"/>
    <s v="Done"/>
    <s v="U3400 R6.4 - NIC5 - AMM - On Demand Read - New Data"/>
    <m/>
  </r>
  <r>
    <n v="64"/>
    <s v="L&amp;G 82-R64"/>
    <x v="0"/>
    <s v="009 - Metrology"/>
    <x v="25"/>
    <s v="1-Critical"/>
    <s v=" "/>
    <d v="2024-09-25T00:00:00"/>
    <d v="1899-12-30T17:07:16"/>
    <s v="Passed"/>
    <s v="Passed"/>
    <s v="mkalra(Manoj Kalra)"/>
    <s v="mkalra(Manoj Kalra)"/>
    <s v="Executed"/>
    <s v="Done"/>
    <s v="U3400 R6.4 - NIC5 - AMM - On Demand Read - Register"/>
    <m/>
  </r>
  <r>
    <n v="65"/>
    <s v="L&amp;G 82-R64"/>
    <x v="0"/>
    <s v="009 - Metrology"/>
    <x v="26"/>
    <s v="1-Critical"/>
    <s v=" "/>
    <d v="2024-09-26T00:00:00"/>
    <d v="1899-12-30T10:33:47"/>
    <s v="Passed"/>
    <s v="Passed"/>
    <s v="mkalra(Manoj Kalra)"/>
    <s v="mkalra(Manoj Kalra)"/>
    <s v="Executed"/>
    <s v="Done"/>
    <s v="U3400 R6.4 - NIC5 - AMM - On Demand Read - Stored Self Read"/>
    <m/>
  </r>
  <r>
    <n v="59"/>
    <s v="L&amp;G 82-R64"/>
    <x v="0"/>
    <s v="009 - Metrology"/>
    <x v="27"/>
    <s v="1-Critical"/>
    <s v=" "/>
    <d v="2024-10-14T00:00:00"/>
    <d v="1899-12-30T12:34:26"/>
    <s v="Passed"/>
    <s v="Passed"/>
    <s v="mkalra(Manoj Kalra)"/>
    <s v="mkalra(Manoj Kalra)"/>
    <s v="Executed"/>
    <s v="Done"/>
    <s v="U3400 R6.4 - NIC5 - Meter Data Integrity -  AMM export"/>
    <m/>
  </r>
  <r>
    <n v="58"/>
    <s v="L&amp;G 82-R64"/>
    <x v="0"/>
    <s v="009 - Metrology"/>
    <x v="28"/>
    <s v="1-Critical"/>
    <s v="MOG group will be doing this test for R64"/>
    <d v="2024-10-15T00:00:00"/>
    <d v="1899-12-30T10:49:12"/>
    <s v="RBT"/>
    <s v="Deferred"/>
    <s v="mkalra(Manoj Kalra)"/>
    <s v="mkalra(Manoj Kalra)"/>
    <s v="Executed"/>
    <s v="-"/>
    <s v="U3400 R6.4 - NIC5 - Meter Data Integrity -  EBQK"/>
    <m/>
  </r>
  <r>
    <n v="111"/>
    <s v="L&amp;G 82-R64"/>
    <x v="2"/>
    <s v="009 - Metrology"/>
    <x v="20"/>
    <s v="1-Critical"/>
    <s v=" "/>
    <d v="2024-10-15T00:00:00"/>
    <d v="1899-12-30T11:53:33"/>
    <s v="Deferred"/>
    <s v="Deferred"/>
    <s v="knjuguna(Kamau Njuguna)"/>
    <s v="knjuguna(Kamau Njuguna)"/>
    <s v="Executed"/>
    <s v="-"/>
    <s v="U1300 R6.4 - NIC5 - Meter Accuracy"/>
    <m/>
  </r>
  <r>
    <n v="1709"/>
    <s v="L&amp;G 82-R64"/>
    <x v="2"/>
    <s v="009 - Metrology"/>
    <x v="21"/>
    <s v="1-Critical"/>
    <s v=" "/>
    <d v="2024-10-15T00:00:00"/>
    <d v="1899-12-30T15:21:28"/>
    <s v="Passed"/>
    <s v="Passed"/>
    <s v="knjuguna(Kamau Njuguna)"/>
    <s v="knjuguna(Kamau Njuguna)"/>
    <s v="Executed"/>
    <s v="Done"/>
    <s v="U1300 R6.4 - NIC5 - Meter Data Integrity - Meter to UIQ (Full)"/>
    <m/>
  </r>
  <r>
    <n v="66"/>
    <s v="L&amp;G 82-R64"/>
    <x v="2"/>
    <s v="009 - Metrology"/>
    <x v="22"/>
    <s v="1-Critical"/>
    <s v=" "/>
    <d v="2024-09-30T00:00:00"/>
    <d v="1899-12-30T13:39:18"/>
    <s v="Passed"/>
    <s v="Passed"/>
    <s v="knjuguna(Kamau Njuguna)"/>
    <s v="knjuguna(Kamau Njuguna)"/>
    <s v="Executed"/>
    <s v="Done"/>
    <s v="U1300 R6.4 - NIC5 - AMM - On Demand Read - C1219 Read"/>
    <m/>
  </r>
  <r>
    <n v="63"/>
    <s v="L&amp;G 82-R64"/>
    <x v="2"/>
    <s v="009 - Metrology"/>
    <x v="23"/>
    <s v="1-Critical"/>
    <s v=" "/>
    <d v="2024-09-30T00:00:00"/>
    <d v="1899-12-30T13:45:25"/>
    <s v="Passed"/>
    <s v="Passed"/>
    <s v="knjuguna(Kamau Njuguna)"/>
    <s v="knjuguna(Kamau Njuguna)"/>
    <s v="Executed"/>
    <s v="Done"/>
    <s v="U1300 R6.4 - NIC5 - AMM - On Demand Read - Interval"/>
    <m/>
  </r>
  <r>
    <n v="62"/>
    <s v="L&amp;G 82-R64"/>
    <x v="2"/>
    <s v="009 - Metrology"/>
    <x v="24"/>
    <s v="1-Critical"/>
    <s v=" "/>
    <d v="2024-09-30T00:00:00"/>
    <d v="1899-12-30T14:28:14"/>
    <s v="Passed"/>
    <s v="Passed"/>
    <s v="knjuguna(Kamau Njuguna)"/>
    <s v="knjuguna(Kamau Njuguna)"/>
    <s v="Executed"/>
    <s v="Done"/>
    <s v="U1300 R6.4 - NIC5 - AMM - On Demand Read - New Data"/>
    <m/>
  </r>
  <r>
    <n v="64"/>
    <s v="L&amp;G 82-R64"/>
    <x v="2"/>
    <s v="009 - Metrology"/>
    <x v="25"/>
    <s v="1-Critical"/>
    <s v=" "/>
    <d v="2024-09-30T00:00:00"/>
    <d v="1899-12-30T14:29:53"/>
    <s v="Passed"/>
    <s v="Passed"/>
    <s v="knjuguna(Kamau Njuguna)"/>
    <s v="knjuguna(Kamau Njuguna)"/>
    <s v="Executed"/>
    <s v="Done"/>
    <s v="U1300 R6.4 - NIC5 - AMM - On Demand Read - Register"/>
    <m/>
  </r>
  <r>
    <n v="65"/>
    <s v="L&amp;G 82-R64"/>
    <x v="2"/>
    <s v="009 - Metrology"/>
    <x v="26"/>
    <s v="1-Critical"/>
    <s v=" "/>
    <d v="2024-09-30T00:00:00"/>
    <d v="1899-12-30T14:34:10"/>
    <s v="Passed"/>
    <s v="Passed"/>
    <s v="knjuguna(Kamau Njuguna)"/>
    <s v="knjuguna(Kamau Njuguna)"/>
    <s v="Executed"/>
    <s v="Done"/>
    <s v="U1300 R6.4 - NIC5 - AMM - On Demand Read - Stored Self Read"/>
    <m/>
  </r>
  <r>
    <n v="59"/>
    <s v="L&amp;G 82-R64"/>
    <x v="2"/>
    <s v="009 - Metrology"/>
    <x v="27"/>
    <s v="1-Critical"/>
    <s v=" "/>
    <d v="2024-10-07T00:00:00"/>
    <d v="1899-12-30T11:14:36"/>
    <s v="Passed"/>
    <s v="Passed"/>
    <s v="knjuguna(Kamau Njuguna)"/>
    <s v="knjuguna(Kamau Njuguna)"/>
    <s v="Executed"/>
    <s v="Done"/>
    <s v="U1300 R6.4 - NIC5 - Meter Data Integrity -  AMM export"/>
    <m/>
  </r>
  <r>
    <n v="58"/>
    <s v="L&amp;G 82-R64"/>
    <x v="2"/>
    <s v="009 - Metrology"/>
    <x v="28"/>
    <s v="1-Critical"/>
    <s v="Test to be covered under meter accuracy test"/>
    <d v="2024-10-15T00:00:00"/>
    <d v="1899-12-30T11:53:28"/>
    <s v="RBT"/>
    <s v="RBT"/>
    <s v="knjuguna(Kamau Njuguna)"/>
    <s v="knjuguna(Kamau Njuguna)"/>
    <s v="RBT"/>
    <s v="Done"/>
    <s v="U1300 R6.4 - NIC5 - Meter Data Integrity -  EBQK"/>
    <m/>
  </r>
  <r>
    <n v="1710"/>
    <s v="L&amp;G 82-R64"/>
    <x v="3"/>
    <s v="009 - Metrology"/>
    <x v="29"/>
    <s v="1-Critical"/>
    <s v=" "/>
    <d v="2024-10-10T00:00:00"/>
    <d v="1899-12-30T10:07:57"/>
    <s v="Passed"/>
    <s v="Passed"/>
    <s v="knjuguna(Kamau Njuguna)"/>
    <s v="knjuguna(Kamau Njuguna)"/>
    <s v="Executed"/>
    <s v="Done"/>
    <s v="U1300 R6.4 - NIC3 - Meter Data Integrity - Meter to UIQ (Sanity)"/>
    <m/>
  </r>
  <r>
    <n v="1710"/>
    <s v="L&amp;G 82-R64"/>
    <x v="2"/>
    <s v="009 - Metrology"/>
    <x v="29"/>
    <s v="1-Critical"/>
    <s v=" "/>
    <d v="2024-10-10T00:00:00"/>
    <d v="1899-12-30T11:31:09"/>
    <s v="Passed"/>
    <s v="Passed"/>
    <s v="knjuguna(Kamau Njuguna)"/>
    <s v="knjuguna(Kamau Njuguna)"/>
    <s v="Executed"/>
    <s v="Done"/>
    <s v="U1300 R6.4 - NIC5 - Meter Data Integrity - Meter to UIQ (Sanity)"/>
    <m/>
  </r>
  <r>
    <n v="1710"/>
    <s v="L&amp;G 82-R64"/>
    <x v="1"/>
    <s v="009 - Metrology"/>
    <x v="29"/>
    <s v="1-Critical"/>
    <s v=" "/>
    <d v="2024-10-11T00:00:00"/>
    <d v="1899-12-30T12:09:02"/>
    <s v="Passed"/>
    <s v="Passed"/>
    <s v="mkalra(Manoj Kalra)"/>
    <s v="mkalra(Manoj Kalra)"/>
    <s v="Executed"/>
    <s v="Done"/>
    <s v="U3400 R6.4 - NIC3 - Meter Data Integrity - Meter to UIQ (Sanity)"/>
    <m/>
  </r>
  <r>
    <n v="1710"/>
    <s v="L&amp;G 82-R64"/>
    <x v="0"/>
    <s v="009 - Metrology"/>
    <x v="29"/>
    <s v="1-Critical"/>
    <s v=" "/>
    <d v="2024-10-11T00:00:00"/>
    <d v="1899-12-30T12:08:50"/>
    <s v="Passed"/>
    <s v="Passed"/>
    <s v="mkalra(Manoj Kalra)"/>
    <s v="mkalra(Manoj Kalra)"/>
    <s v="Executed"/>
    <s v="Done"/>
    <s v="U3400 R6.4 - NIC5 - Meter Data Integrity - Meter to UIQ (Sanity)"/>
    <m/>
  </r>
  <r>
    <n v="33"/>
    <s v="L&amp;G 82-R64"/>
    <x v="3"/>
    <s v="009 - Metrology"/>
    <x v="30"/>
    <s v="1-Critical"/>
    <s v=" "/>
    <d v="2024-10-09T00:00:00"/>
    <d v="1899-12-30T16:10:58"/>
    <s v="Passed"/>
    <s v="Passed"/>
    <s v="knjuguna(Kamau Njuguna)"/>
    <s v="knjuguna(Kamau Njuguna)"/>
    <s v="Executed"/>
    <s v="Done"/>
    <s v="U1300 R6.4 - NIC3 - AMM - On Demand Read - NIC Event Log"/>
    <m/>
  </r>
  <r>
    <n v="33"/>
    <s v="L&amp;G 82-R64"/>
    <x v="2"/>
    <s v="009 - Metrology"/>
    <x v="30"/>
    <s v="1-Critical"/>
    <s v=" "/>
    <d v="2024-10-09T00:00:00"/>
    <d v="1899-12-30T16:11:42"/>
    <s v="Passed"/>
    <s v="Passed"/>
    <s v="knjuguna(Kamau Njuguna)"/>
    <s v="knjuguna(Kamau Njuguna)"/>
    <s v="Executed"/>
    <s v="Done"/>
    <s v="U1300 R6.4 - NIC5 - AMM - On Demand Read - NIC Event Log"/>
    <m/>
  </r>
  <r>
    <n v="33"/>
    <s v="L&amp;G 82-R64"/>
    <x v="1"/>
    <s v="009 - Metrology"/>
    <x v="30"/>
    <s v="1-Critical"/>
    <s v=" "/>
    <d v="2024-09-26T00:00:00"/>
    <d v="1899-12-30T11:03:28"/>
    <s v="Passed"/>
    <s v="Passed"/>
    <s v="mkalra(Manoj Kalra)"/>
    <s v="mkalra(Manoj Kalra)"/>
    <s v="Executed"/>
    <s v="Done"/>
    <s v="U3400 R6.4 - NIC3 - AMM - On Demand Read - NIC Event Log"/>
    <m/>
  </r>
  <r>
    <n v="33"/>
    <s v="L&amp;G 82-R64"/>
    <x v="0"/>
    <s v="009 - Metrology"/>
    <x v="30"/>
    <s v="1-Critical"/>
    <s v=" "/>
    <d v="2024-09-26T00:00:00"/>
    <d v="1899-12-30T11:04:11"/>
    <s v="Passed"/>
    <s v="Passed"/>
    <s v="mkalra(Manoj Kalra)"/>
    <s v="mkalra(Manoj Kalra)"/>
    <s v="Executed"/>
    <s v="Done"/>
    <s v="U3400 R6.4 - NIC5 - AMM - On Demand Read - NIC Event Log"/>
    <m/>
  </r>
  <r>
    <n v="60"/>
    <s v="L&amp;G 82-R64"/>
    <x v="3"/>
    <s v="009 - Metrology"/>
    <x v="31"/>
    <s v="3-Medium"/>
    <s v=" "/>
    <d v="2024-10-07T00:00:00"/>
    <d v="1899-12-30T16:32:46"/>
    <s v="Passed"/>
    <s v="Passed"/>
    <s v="knjuguna(Kamau Njuguna)"/>
    <s v="knjuguna(Kamau Njuguna)"/>
    <s v="Executed"/>
    <s v="Done"/>
    <s v="U1300 R6.4 - NIC3 - Meter display -  register resolution"/>
    <m/>
  </r>
  <r>
    <n v="60"/>
    <s v="L&amp;G 82-R64"/>
    <x v="2"/>
    <s v="009 - Metrology"/>
    <x v="31"/>
    <s v="3-Medium"/>
    <s v=" "/>
    <d v="2024-10-07T00:00:00"/>
    <d v="1899-12-30T16:33:47"/>
    <s v="Passed"/>
    <s v="Passed"/>
    <s v="knjuguna(Kamau Njuguna)"/>
    <s v="knjuguna(Kamau Njuguna)"/>
    <s v="Executed"/>
    <s v="Done"/>
    <s v="U1300 R6.4 - NIC5 - Meter display -  register resolution"/>
    <m/>
  </r>
  <r>
    <n v="60"/>
    <s v="L&amp;G 82-R64"/>
    <x v="1"/>
    <s v="009 - Metrology"/>
    <x v="31"/>
    <s v="3-Medium"/>
    <s v=" "/>
    <d v="2024-10-07T00:00:00"/>
    <d v="1899-12-30T12:16:25"/>
    <s v="Passed"/>
    <s v="Passed"/>
    <s v="mkalra(Manoj Kalra)"/>
    <s v="mkalra(Manoj Kalra)"/>
    <s v="Executed"/>
    <s v="Done"/>
    <s v="U3400 R6.4 - NIC3 - Meter display -  register resolution"/>
    <m/>
  </r>
  <r>
    <n v="60"/>
    <s v="L&amp;G 82-R64"/>
    <x v="0"/>
    <s v="009 - Metrology"/>
    <x v="31"/>
    <s v="3-Medium"/>
    <s v=" "/>
    <d v="2024-10-07T00:00:00"/>
    <d v="1899-12-30T12:15:52"/>
    <s v="Passed"/>
    <s v="Passed"/>
    <s v="mkalra(Manoj Kalra)"/>
    <s v="mkalra(Manoj Kalra)"/>
    <s v="Executed"/>
    <s v="Done"/>
    <s v="U3400 R6.4 - NIC5 - Meter display -  register resolution"/>
    <m/>
  </r>
  <r>
    <n v="144"/>
    <s v="L&amp;G 82-R64"/>
    <x v="1"/>
    <s v="010 - Supply Contactor"/>
    <x v="32"/>
    <s v="3-Medium"/>
    <s v=" "/>
    <d v="2024-10-07T00:00:00"/>
    <d v="1899-12-30T16:03:40"/>
    <s v="N/A"/>
    <s v="N/A"/>
    <s v="mkalra(Manoj Kalra)"/>
    <s v="mkalra(Manoj Kalra)"/>
    <s v="No Run"/>
    <s v="N/A"/>
    <s v="U3400 R6.4 - NIC3 - Meter supply contactor - Arm Remotely"/>
    <m/>
  </r>
  <r>
    <n v="69"/>
    <s v="L&amp;G 82-R64"/>
    <x v="1"/>
    <s v="010 - Supply Contactor"/>
    <x v="33"/>
    <s v="1-Critical"/>
    <s v=" "/>
    <d v="2024-09-30T00:00:00"/>
    <d v="1899-12-30T16:15:12"/>
    <s v="Passed"/>
    <s v="Passed"/>
    <s v="mkalra(Manoj Kalra)"/>
    <s v="mkalra(Manoj Kalra)"/>
    <s v="Executed"/>
    <s v="Done"/>
    <s v="U3400 R6.4 - NIC3 - Meter supply contactor - Remote Lockout"/>
    <m/>
  </r>
  <r>
    <n v="68"/>
    <s v="L&amp;G 82-R64"/>
    <x v="1"/>
    <s v="010 - Supply Contactor"/>
    <x v="34"/>
    <s v="1-Critical"/>
    <s v=" "/>
    <d v="2024-09-30T00:00:00"/>
    <d v="1899-12-30T17:12:38"/>
    <s v="Passed"/>
    <s v="Passed"/>
    <s v="mkalra(Manoj Kalra)"/>
    <s v="mkalra(Manoj Kalra)"/>
    <s v="Executed"/>
    <s v="Done"/>
    <s v="U3400 R6.4 - NIC3 - Meter supply contactor connect disconnect - local"/>
    <m/>
  </r>
  <r>
    <n v="67"/>
    <s v="L&amp;G 82-R64"/>
    <x v="1"/>
    <s v="010 - Supply Contactor"/>
    <x v="35"/>
    <s v="1-Critical"/>
    <s v=" "/>
    <d v="2024-09-30T00:00:00"/>
    <d v="1899-12-30T17:29:00"/>
    <s v="Passed"/>
    <s v="Passed"/>
    <s v="mkalra(Manoj Kalra)"/>
    <s v="mkalra(Manoj Kalra)"/>
    <s v="Executed"/>
    <s v="Done"/>
    <s v="U3400 R6.4 - NIC3 - Meter supply contactor connect disconnect - remote"/>
    <m/>
  </r>
  <r>
    <n v="144"/>
    <s v="L&amp;G 82-R64"/>
    <x v="3"/>
    <s v="010 - Supply Contactor"/>
    <x v="32"/>
    <s v="3-Medium"/>
    <s v=" "/>
    <d v="2024-10-10T00:00:00"/>
    <d v="1899-12-30T08:40:52"/>
    <s v="N/A"/>
    <s v="N/A"/>
    <s v="knjuguna(Kamau Njuguna)"/>
    <s v="knjuguna(Kamau Njuguna)"/>
    <s v="No Run"/>
    <s v="N/A"/>
    <s v="U1300 R6.4 - NIC3 - Meter supply contactor - Arm Remotely"/>
    <m/>
  </r>
  <r>
    <n v="69"/>
    <s v="L&amp;G 82-R64"/>
    <x v="3"/>
    <s v="010 - Supply Contactor"/>
    <x v="33"/>
    <s v="1-Critical"/>
    <s v=" "/>
    <d v="2024-10-07T00:00:00"/>
    <d v="1899-12-30T13:30:18"/>
    <s v="Passed"/>
    <s v="Passed"/>
    <s v="knjuguna(Kamau Njuguna)"/>
    <s v="knjuguna(Kamau Njuguna)"/>
    <s v="Executed"/>
    <s v="Done"/>
    <s v="U1300 R6.4 - NIC3 - Meter supply contactor - Remote Lockout"/>
    <m/>
  </r>
  <r>
    <n v="68"/>
    <s v="L&amp;G 82-R64"/>
    <x v="3"/>
    <s v="010 - Supply Contactor"/>
    <x v="34"/>
    <s v="1-Critical"/>
    <s v=" "/>
    <d v="2024-10-03T00:00:00"/>
    <d v="1899-12-30T16:40:16"/>
    <s v="Passed"/>
    <s v="Passed"/>
    <s v="knjuguna(Kamau Njuguna)"/>
    <s v="knjuguna(Kamau Njuguna)"/>
    <s v="Executed"/>
    <s v="Done"/>
    <s v="U1300 R6.4 - NIC3 - Meter supply contactor connect disconnect - local"/>
    <m/>
  </r>
  <r>
    <n v="67"/>
    <s v="L&amp;G 82-R64"/>
    <x v="3"/>
    <s v="010 - Supply Contactor"/>
    <x v="35"/>
    <s v="1-Critical"/>
    <s v=" "/>
    <d v="2024-10-03T00:00:00"/>
    <d v="1899-12-30T15:18:56"/>
    <s v="Passed"/>
    <s v="Passed"/>
    <s v="knjuguna(Kamau Njuguna)"/>
    <s v="knjuguna(Kamau Njuguna)"/>
    <s v="Executed"/>
    <s v="Done"/>
    <s v="U1300 R6.4 - NIC3 - Meter supply contactor connect disconnect - remote"/>
    <m/>
  </r>
  <r>
    <n v="144"/>
    <s v="L&amp;G 82-R64"/>
    <x v="0"/>
    <s v="010 - Supply Contactor"/>
    <x v="32"/>
    <s v="3-Medium"/>
    <s v=" "/>
    <d v="2024-10-07T00:00:00"/>
    <d v="1899-12-30T16:04:37"/>
    <s v="N/A"/>
    <s v="N/A"/>
    <s v="mkalra(Manoj Kalra)"/>
    <s v="mkalra(Manoj Kalra)"/>
    <s v="No Run"/>
    <s v="N/A"/>
    <s v="U3400 R6.4 - NIC5 - Meter supply contactor - Arm Remotely"/>
    <m/>
  </r>
  <r>
    <n v="69"/>
    <s v="L&amp;G 82-R64"/>
    <x v="0"/>
    <s v="010 - Supply Contactor"/>
    <x v="33"/>
    <s v="1-Critical"/>
    <s v=" "/>
    <d v="2024-09-30T00:00:00"/>
    <d v="1899-12-30T16:15:16"/>
    <s v="Passed"/>
    <s v="Passed"/>
    <s v="mkalra(Manoj Kalra)"/>
    <s v="mkalra(Manoj Kalra)"/>
    <s v="Executed"/>
    <s v="Done"/>
    <s v="U3400 R6.4 - NIC5 - Meter supply contactor - Remote Lockout"/>
    <m/>
  </r>
  <r>
    <n v="68"/>
    <s v="L&amp;G 82-R64"/>
    <x v="0"/>
    <s v="010 - Supply Contactor"/>
    <x v="34"/>
    <s v="1-Critical"/>
    <s v=" "/>
    <d v="2024-09-30T00:00:00"/>
    <d v="1899-12-30T17:11:37"/>
    <s v="Passed"/>
    <s v="Passed"/>
    <s v="mkalra(Manoj Kalra)"/>
    <s v="mkalra(Manoj Kalra)"/>
    <s v="Executed"/>
    <s v="Done"/>
    <s v="U3400 R6.4 - NIC5 - Meter supply contactor connect disconnect - local"/>
    <m/>
  </r>
  <r>
    <n v="67"/>
    <s v="L&amp;G 82-R64"/>
    <x v="0"/>
    <s v="010 - Supply Contactor"/>
    <x v="35"/>
    <s v="1-Critical"/>
    <s v=" "/>
    <d v="2024-09-30T00:00:00"/>
    <d v="1899-12-30T17:28:55"/>
    <s v="Passed"/>
    <s v="Passed"/>
    <s v="mkalra(Manoj Kalra)"/>
    <s v="mkalra(Manoj Kalra)"/>
    <s v="Executed"/>
    <s v="Done"/>
    <s v="U3400 R6.4 - NIC5 - Meter supply contactor connect disconnect - remote"/>
    <m/>
  </r>
  <r>
    <n v="144"/>
    <s v="L&amp;G 82-R64"/>
    <x v="2"/>
    <s v="010 - Supply Contactor"/>
    <x v="32"/>
    <s v="3-Medium"/>
    <s v="Not applicable to L&amp;G meters"/>
    <d v="2024-10-15T00:00:00"/>
    <d v="1899-12-30T11:54:13"/>
    <s v="N/A"/>
    <s v="N/A"/>
    <s v="knjuguna(Kamau Njuguna)"/>
    <s v="knjuguna(Kamau Njuguna)"/>
    <s v="No Run"/>
    <s v="N/A"/>
    <s v="U1300 R6.4 - NIC5 - Meter supply contactor - Arm Remotely"/>
    <m/>
  </r>
  <r>
    <n v="69"/>
    <s v="L&amp;G 82-R64"/>
    <x v="2"/>
    <s v="010 - Supply Contactor"/>
    <x v="33"/>
    <s v="1-Critical"/>
    <s v=" "/>
    <d v="2024-10-07T00:00:00"/>
    <d v="1899-12-30T15:08:57"/>
    <s v="Passed"/>
    <s v="Passed"/>
    <s v="knjuguna(Kamau Njuguna)"/>
    <s v="knjuguna(Kamau Njuguna)"/>
    <s v="Executed"/>
    <s v="Done"/>
    <s v="U1300 R6.4 - NIC5 - Meter supply contactor - Remote Lockout"/>
    <m/>
  </r>
  <r>
    <n v="68"/>
    <s v="L&amp;G 82-R64"/>
    <x v="2"/>
    <s v="010 - Supply Contactor"/>
    <x v="34"/>
    <s v="1-Critical"/>
    <s v=" "/>
    <d v="2024-10-03T00:00:00"/>
    <d v="1899-12-30T16:43:21"/>
    <s v="Passed"/>
    <s v="Passed"/>
    <s v="knjuguna(Kamau Njuguna)"/>
    <s v="knjuguna(Kamau Njuguna)"/>
    <s v="Executed"/>
    <s v="Done"/>
    <s v="U1300 R6.4 - NIC5 - Meter supply contactor connect disconnect - local"/>
    <m/>
  </r>
  <r>
    <n v="67"/>
    <s v="L&amp;G 82-R64"/>
    <x v="2"/>
    <s v="010 - Supply Contactor"/>
    <x v="35"/>
    <s v="1-Critical"/>
    <s v=" "/>
    <d v="2024-10-03T00:00:00"/>
    <d v="1899-12-30T15:24:22"/>
    <s v="Passed"/>
    <s v="Passed"/>
    <s v="knjuguna(Kamau Njuguna)"/>
    <s v="knjuguna(Kamau Njuguna)"/>
    <s v="Executed"/>
    <s v="Done"/>
    <s v="U1300 R6.4 - NIC5 - Meter supply contactor connect disconnect - remote"/>
    <m/>
  </r>
  <r>
    <n v="71"/>
    <s v="L&amp;G 82-R64"/>
    <x v="1"/>
    <s v="011 - Auto-Disconnection"/>
    <x v="36"/>
    <s v="1-Critical"/>
    <s v=" "/>
    <d v="2024-10-01T00:00:00"/>
    <d v="1899-12-30T10:07:03"/>
    <s v="Passed"/>
    <s v="Passed"/>
    <s v="mkalra(Manoj Kalra)"/>
    <s v="mkalra(Manoj Kalra)"/>
    <s v="Executed"/>
    <s v="Done"/>
    <s v="U3400 R6.4 - NIC3 - Auto-Disconnect - Disabled"/>
    <m/>
  </r>
  <r>
    <n v="70"/>
    <s v="L&amp;G 82-R64"/>
    <x v="1"/>
    <s v="011 - Auto-Disconnection"/>
    <x v="37"/>
    <s v="1-Critical"/>
    <s v=" "/>
    <d v="2024-10-01T00:00:00"/>
    <d v="1899-12-30T12:13:23"/>
    <s v="Passed"/>
    <s v="Passed"/>
    <s v="mkalra(Manoj Kalra)"/>
    <s v="mkalra(Manoj Kalra)"/>
    <s v="Executed"/>
    <s v="Done"/>
    <s v="U3400 R6.4 - NIC3 - Auto-Disconnect - Enabled"/>
    <m/>
  </r>
  <r>
    <n v="185"/>
    <s v="L&amp;G 82-R64"/>
    <x v="1"/>
    <s v="011 - Auto-Disconnection"/>
    <x v="38"/>
    <s v="2-High"/>
    <s v=" "/>
    <d v="2024-10-01T00:00:00"/>
    <d v="1899-12-30T12:58:20"/>
    <s v="Passed"/>
    <s v="Passed"/>
    <s v="mkalra(Manoj Kalra)"/>
    <s v="mkalra(Manoj Kalra)"/>
    <s v="Executed"/>
    <s v="Done"/>
    <s v="U3400 R6.4 - NIC3 - Auto-Disconnect - Override For NAP (L+G)"/>
    <m/>
  </r>
  <r>
    <n v="89"/>
    <s v="L&amp;G 82-R64"/>
    <x v="1"/>
    <s v="011 - Auto-Disconnection"/>
    <x v="39"/>
    <s v="4-Low"/>
    <s v=" "/>
    <d v="2024-10-01T00:00:00"/>
    <d v="1899-12-30T13:21:58"/>
    <s v="Passed"/>
    <s v="Passed"/>
    <s v="mkalra(Manoj Kalra)"/>
    <s v="mkalra(Manoj Kalra)"/>
    <s v="Executed"/>
    <s v="Done"/>
    <s v="U3400 R6.4 - NIC3 - Auto-Disconnect - Remote Lockout"/>
    <m/>
  </r>
  <r>
    <n v="71"/>
    <s v="L&amp;G 82-R64"/>
    <x v="3"/>
    <s v="011 - Auto-Disconnection"/>
    <x v="36"/>
    <s v="1-Critical"/>
    <s v=" "/>
    <d v="2024-10-04T00:00:00"/>
    <d v="1899-12-30T09:37:27"/>
    <s v="Passed"/>
    <s v="Passed"/>
    <s v="knjuguna(Kamau Njuguna)"/>
    <s v="knjuguna(Kamau Njuguna)"/>
    <s v="Executed"/>
    <s v="Done"/>
    <s v="U1300 R6.4 - NIC3 - Auto-Disconnect - Disabled"/>
    <m/>
  </r>
  <r>
    <n v="70"/>
    <s v="L&amp;G 82-R64"/>
    <x v="3"/>
    <s v="011 - Auto-Disconnection"/>
    <x v="37"/>
    <s v="1-Critical"/>
    <s v=" "/>
    <d v="2024-10-04T00:00:00"/>
    <d v="1899-12-30T08:56:38"/>
    <s v="Passed"/>
    <s v="Passed"/>
    <s v="knjuguna(Kamau Njuguna)"/>
    <s v="knjuguna(Kamau Njuguna)"/>
    <s v="Executed"/>
    <s v="Done"/>
    <s v="U1300 R6.4 - NIC3 - Auto-Disconnect - Enabled"/>
    <m/>
  </r>
  <r>
    <n v="185"/>
    <s v="L&amp;G 82-R64"/>
    <x v="3"/>
    <s v="011 - Auto-Disconnection"/>
    <x v="38"/>
    <s v="2-High"/>
    <s v=" "/>
    <d v="2024-10-04T00:00:00"/>
    <d v="1899-12-30T10:50:11"/>
    <s v="Passed"/>
    <s v="Passed"/>
    <s v="knjuguna(Kamau Njuguna)"/>
    <s v="knjuguna(Kamau Njuguna)"/>
    <s v="Executed"/>
    <s v="Done"/>
    <s v="U1300 R6.4 - NIC3 - Auto-Disconnect - Override For NAP (L+G)"/>
    <m/>
  </r>
  <r>
    <n v="89"/>
    <s v="L&amp;G 82-R64"/>
    <x v="3"/>
    <s v="011 - Auto-Disconnection"/>
    <x v="39"/>
    <s v="4-Low"/>
    <s v=" "/>
    <d v="2024-10-04T00:00:00"/>
    <d v="1899-12-30T11:03:36"/>
    <s v="Passed"/>
    <s v="Passed"/>
    <s v="knjuguna(Kamau Njuguna)"/>
    <s v="knjuguna(Kamau Njuguna)"/>
    <s v="Executed"/>
    <s v="Done"/>
    <s v="U1300 R6.4 - NIC3 - Auto-Disconnect - Remote Lockout"/>
    <m/>
  </r>
  <r>
    <n v="71"/>
    <s v="L&amp;G 82-R64"/>
    <x v="0"/>
    <s v="011 - Auto-Disconnection"/>
    <x v="36"/>
    <s v="1-Critical"/>
    <s v=" "/>
    <d v="2024-10-01T00:00:00"/>
    <d v="1899-12-30T10:07:00"/>
    <s v="Passed"/>
    <s v="Passed"/>
    <s v="mkalra(Manoj Kalra)"/>
    <s v="mkalra(Manoj Kalra)"/>
    <s v="Executed"/>
    <s v="Done"/>
    <s v="U3400 R6.4 - NIC5 - Auto-Disconnect - Disabled"/>
    <m/>
  </r>
  <r>
    <n v="70"/>
    <s v="L&amp;G 82-R64"/>
    <x v="0"/>
    <s v="011 - Auto-Disconnection"/>
    <x v="37"/>
    <s v="1-Critical"/>
    <s v=" "/>
    <d v="2024-10-01T00:00:00"/>
    <d v="1899-12-30T12:58:43"/>
    <s v="Passed"/>
    <s v="Passed"/>
    <s v="mkalra(Manoj Kalra)"/>
    <s v="mkalra(Manoj Kalra)"/>
    <s v="Executed"/>
    <s v="Done"/>
    <s v="U3400 R6.4 - NIC5 - Auto-Disconnect - Enabled"/>
    <m/>
  </r>
  <r>
    <n v="185"/>
    <s v="L&amp;G 82-R64"/>
    <x v="0"/>
    <s v="011 - Auto-Disconnection"/>
    <x v="38"/>
    <s v="2-High"/>
    <s v=" "/>
    <d v="2024-10-01T00:00:00"/>
    <d v="1899-12-30T12:58:22"/>
    <s v="Passed"/>
    <s v="Passed"/>
    <s v="mkalra(Manoj Kalra)"/>
    <s v="mkalra(Manoj Kalra)"/>
    <s v="Executed"/>
    <s v="Done"/>
    <s v="U3400 R6.4 - NIC5 - Auto-Disconnect - Override For NAP (L+G)"/>
    <m/>
  </r>
  <r>
    <n v="89"/>
    <s v="L&amp;G 82-R64"/>
    <x v="0"/>
    <s v="011 - Auto-Disconnection"/>
    <x v="39"/>
    <s v="4-Low"/>
    <s v=" "/>
    <d v="2024-10-01T00:00:00"/>
    <d v="1899-12-30T13:21:51"/>
    <s v="Passed"/>
    <s v="Passed"/>
    <s v="mkalra(Manoj Kalra)"/>
    <s v="mkalra(Manoj Kalra)"/>
    <s v="Executed"/>
    <s v="Done"/>
    <s v="U3400 R6.4 - NIC5 - Auto-Disconnect - Remote Lockout"/>
    <m/>
  </r>
  <r>
    <n v="71"/>
    <s v="L&amp;G 82-R64"/>
    <x v="2"/>
    <s v="011 - Auto-Disconnection"/>
    <x v="36"/>
    <s v="1-Critical"/>
    <s v=" "/>
    <d v="2024-10-04T00:00:00"/>
    <d v="1899-12-30T09:43:50"/>
    <s v="Passed"/>
    <s v="Passed"/>
    <s v="knjuguna(Kamau Njuguna)"/>
    <s v="knjuguna(Kamau Njuguna)"/>
    <s v="Executed"/>
    <s v="Done"/>
    <s v="U1300 R6.4 - NIC5 - Auto-Disconnect - Disabled"/>
    <m/>
  </r>
  <r>
    <n v="70"/>
    <s v="L&amp;G 82-R64"/>
    <x v="2"/>
    <s v="011 - Auto-Disconnection"/>
    <x v="37"/>
    <s v="1-Critical"/>
    <s v=" "/>
    <d v="2024-10-04T00:00:00"/>
    <d v="1899-12-30T08:58:28"/>
    <s v="Passed"/>
    <s v="Passed"/>
    <s v="knjuguna(Kamau Njuguna)"/>
    <s v="knjuguna(Kamau Njuguna)"/>
    <s v="Executed"/>
    <s v="Done"/>
    <s v="U1300 R6.4 - NIC5 - Auto-Disconnect - Enabled"/>
    <m/>
  </r>
  <r>
    <n v="185"/>
    <s v="L&amp;G 82-R64"/>
    <x v="2"/>
    <s v="011 - Auto-Disconnection"/>
    <x v="38"/>
    <s v="2-High"/>
    <s v=" "/>
    <d v="2024-10-04T00:00:00"/>
    <d v="1899-12-30T10:50:19"/>
    <s v="Passed"/>
    <s v="Passed"/>
    <s v="knjuguna(Kamau Njuguna)"/>
    <s v="knjuguna(Kamau Njuguna)"/>
    <s v="Executed"/>
    <s v="Done"/>
    <s v="U1300 R6.4 - NIC5 - Auto-Disconnect - Override For NAP (L+G)"/>
    <m/>
  </r>
  <r>
    <n v="89"/>
    <s v="L&amp;G 82-R64"/>
    <x v="2"/>
    <s v="011 - Auto-Disconnection"/>
    <x v="39"/>
    <s v="4-Low"/>
    <s v=" "/>
    <d v="2024-10-04T00:00:00"/>
    <d v="1899-12-30T11:10:04"/>
    <s v="Passed"/>
    <s v="Passed"/>
    <s v="knjuguna(Kamau Njuguna)"/>
    <s v="knjuguna(Kamau Njuguna)"/>
    <s v="Executed"/>
    <s v="Done"/>
    <s v="U1300 R6.4 - NIC5 - Auto-Disconnect - Remote Lockout"/>
    <m/>
  </r>
  <r>
    <n v="74"/>
    <s v="L&amp;G 82-R64"/>
    <x v="1"/>
    <s v="012 - Load Contactor"/>
    <x v="40"/>
    <s v="1-Critical"/>
    <s v=" "/>
    <d v="2024-09-20T00:00:00"/>
    <d v="1899-12-30T09:55:07"/>
    <s v="Passed"/>
    <s v="Passed"/>
    <s v="mkalra(Manoj Kalra)"/>
    <s v="mkalra(Manoj Kalra)"/>
    <s v="Executed"/>
    <s v="Done"/>
    <s v="U3400 R6.4 - NIC3 - Meter load contactor - remote override (close)"/>
    <m/>
  </r>
  <r>
    <n v="73"/>
    <s v="L&amp;G 82-R64"/>
    <x v="1"/>
    <s v="012 - Load Contactor"/>
    <x v="41"/>
    <s v="1-Critical"/>
    <s v=" "/>
    <d v="2024-09-20T00:00:00"/>
    <d v="1899-12-30T11:03:11"/>
    <s v="Failed"/>
    <s v="Failed"/>
    <s v="mkalra(Manoj Kalra)"/>
    <s v="mkalra(Manoj Kalra)"/>
    <s v="Executed"/>
    <s v="Done"/>
    <s v="U3400 R6.4 - NIC3 - Meter load contactor - remote override (open)"/>
    <m/>
  </r>
  <r>
    <n v="75"/>
    <s v="L&amp;G 82-R64"/>
    <x v="1"/>
    <s v="012 - Load Contactor"/>
    <x v="42"/>
    <s v="1-Critical"/>
    <s v=" "/>
    <d v="2024-10-07T00:00:00"/>
    <d v="1899-12-30T10:22:34"/>
    <s v="Passed"/>
    <s v="Passed"/>
    <s v="mkalra(Manoj Kalra)"/>
    <s v="mkalra(Manoj Kalra)"/>
    <s v="Executed"/>
    <s v="Done"/>
    <s v="U3400 R6.4 - NIC3 - Meter load contactor - switching schedule 5-on-5-off"/>
    <m/>
  </r>
  <r>
    <n v="122"/>
    <s v="L&amp;G 82-R64"/>
    <x v="1"/>
    <s v="012 - Load Contactor"/>
    <x v="43"/>
    <s v="2-High"/>
    <s v=" "/>
    <d v="2024-10-03T00:00:00"/>
    <d v="1899-12-30T16:18:25"/>
    <s v="Passed"/>
    <s v="Passed"/>
    <s v="mkalra(Manoj Kalra)"/>
    <s v="mkalra(Manoj Kalra)"/>
    <s v="Executed"/>
    <s v="Done"/>
    <s v="U3400 R6.4 - NIC3 - Boost Primacy - Boost time longer than LC override"/>
    <m/>
  </r>
  <r>
    <n v="123"/>
    <s v="L&amp;G 82-R64"/>
    <x v="1"/>
    <s v="012 - Load Contactor"/>
    <x v="44"/>
    <s v="2-High"/>
    <s v=" "/>
    <d v="2024-09-20T00:00:00"/>
    <d v="1899-12-30T13:20:24"/>
    <s v="Passed"/>
    <s v="Passed"/>
    <s v="mkalra(Manoj Kalra)"/>
    <s v="mkalra(Manoj Kalra)"/>
    <s v="Executed"/>
    <s v="Done"/>
    <s v="U3400 R6.4 - NIC3 - Boost Primacy - Disabled"/>
    <m/>
  </r>
  <r>
    <n v="1725"/>
    <s v="L&amp;G 82-R64"/>
    <x v="1"/>
    <s v="012 - Load Contactor"/>
    <x v="45"/>
    <s v="2-High"/>
    <s v=" "/>
    <d v="2024-09-20T00:00:00"/>
    <d v="1899-12-30T15:00:07"/>
    <s v="Failed"/>
    <s v="Failed"/>
    <s v="mkalra(Manoj Kalra)"/>
    <s v="mkalra(Manoj Kalra)"/>
    <s v="Executed"/>
    <s v="Done"/>
    <s v="U3400 R6.4 - NIC3 - Boost Primacy - Enable-Disable"/>
    <m/>
  </r>
  <r>
    <n v="90"/>
    <s v="L&amp;G 82-R64"/>
    <x v="1"/>
    <s v="012 - Load Contactor"/>
    <x v="46"/>
    <s v="2-High"/>
    <s v=" "/>
    <d v="2024-09-24T00:00:00"/>
    <d v="1899-12-30T09:38:15"/>
    <s v="Passed"/>
    <s v="Passed"/>
    <s v="mkalra(Manoj Kalra)"/>
    <s v="mkalra(Manoj Kalra)"/>
    <s v="Executed"/>
    <s v="Done"/>
    <s v="U3400 R6.4 - NIC3 - Boost operation - Disabled"/>
    <m/>
  </r>
  <r>
    <n v="76"/>
    <s v="L&amp;G 82-R64"/>
    <x v="1"/>
    <s v="012 - Load Contactor"/>
    <x v="47"/>
    <s v="1-Critical"/>
    <s v=" "/>
    <d v="2024-09-24T00:00:00"/>
    <d v="1899-12-30T12:36:32"/>
    <s v="Passed"/>
    <s v="Passed"/>
    <s v="mkalra(Manoj Kalra)"/>
    <s v="mkalra(Manoj Kalra)"/>
    <s v="Executed"/>
    <s v="Done"/>
    <s v="U3400 R6.4 - NIC3 - Boost operation - Enabled - Boost (Boost Duration) minutes"/>
    <m/>
  </r>
  <r>
    <n v="74"/>
    <s v="L&amp;G 82-R64"/>
    <x v="3"/>
    <s v="012 - Load Contactor"/>
    <x v="40"/>
    <s v="1-Critical"/>
    <s v=" "/>
    <d v="2024-09-20T00:00:00"/>
    <d v="1899-12-30T14:10:39"/>
    <s v="Passed"/>
    <s v="Passed"/>
    <s v="knjuguna(Kamau Njuguna)"/>
    <s v="knjuguna(Kamau Njuguna)"/>
    <s v="Executed"/>
    <s v="Done"/>
    <s v="U1300 R6.4 - NIC3 - Meter load contactor - remote override (close)"/>
    <m/>
  </r>
  <r>
    <n v="73"/>
    <s v="L&amp;G 82-R64"/>
    <x v="3"/>
    <s v="012 - Load Contactor"/>
    <x v="41"/>
    <s v="1-Critical"/>
    <s v=" "/>
    <d v="2024-09-20T00:00:00"/>
    <d v="1899-12-30T14:50:34"/>
    <s v="Failed"/>
    <s v="Failed"/>
    <s v="knjuguna(Kamau Njuguna)"/>
    <s v="knjuguna(Kamau Njuguna)"/>
    <s v="Executed"/>
    <s v="Done"/>
    <s v="U1300 R6.4 - NIC3 - Meter load contactor - remote override (open)"/>
    <m/>
  </r>
  <r>
    <n v="75"/>
    <s v="L&amp;G 82-R64"/>
    <x v="3"/>
    <s v="012 - Load Contactor"/>
    <x v="42"/>
    <s v="1-Critical"/>
    <s v=" "/>
    <d v="2024-09-23T00:00:00"/>
    <d v="1899-12-30T09:04:19"/>
    <s v="Passed"/>
    <s v="Passed"/>
    <s v="knjuguna(Kamau Njuguna)"/>
    <s v="knjuguna(Kamau Njuguna)"/>
    <s v="Executed"/>
    <s v="Done"/>
    <s v="U1300 R6.4 - NIC3 - Meter load contactor - switching schedule 5-on-5-off"/>
    <m/>
  </r>
  <r>
    <n v="122"/>
    <s v="L&amp;G 82-R64"/>
    <x v="3"/>
    <s v="012 - Load Contactor"/>
    <x v="43"/>
    <s v="2-High"/>
    <s v=" "/>
    <d v="2024-10-04T00:00:00"/>
    <d v="1899-12-30T14:38:00"/>
    <s v="Passed"/>
    <s v="Passed"/>
    <s v="knjuguna(Kamau Njuguna)"/>
    <s v="knjuguna(Kamau Njuguna)"/>
    <s v="Executed"/>
    <s v="Done"/>
    <s v="U1300 R6.4 - NIC3 - Boost Primacy - Boost time longer than LC override"/>
    <m/>
  </r>
  <r>
    <n v="123"/>
    <s v="L&amp;G 82-R64"/>
    <x v="3"/>
    <s v="012 - Load Contactor"/>
    <x v="44"/>
    <s v="2-High"/>
    <s v=" "/>
    <d v="2024-10-04T00:00:00"/>
    <d v="1899-12-30T16:03:47"/>
    <s v="Passed"/>
    <s v="Passed"/>
    <s v="knjuguna(Kamau Njuguna)"/>
    <s v="knjuguna(Kamau Njuguna)"/>
    <s v="Executed"/>
    <s v="Done"/>
    <s v="U1300 R6.4 - NIC3 - Boost Primacy - Disabled"/>
    <m/>
  </r>
  <r>
    <n v="1725"/>
    <s v="L&amp;G 82-R64"/>
    <x v="3"/>
    <s v="012 - Load Contactor"/>
    <x v="45"/>
    <s v="2-High"/>
    <s v=" "/>
    <d v="2024-10-04T00:00:00"/>
    <d v="1899-12-30T16:43:52"/>
    <s v="Failed"/>
    <s v="Failed"/>
    <s v="knjuguna(Kamau Njuguna)"/>
    <s v="knjuguna(Kamau Njuguna)"/>
    <s v="Executed"/>
    <s v="Done"/>
    <s v="U1300 R6.4 - NIC3 - Boost Primacy - Enable-Disable"/>
    <m/>
  </r>
  <r>
    <n v="90"/>
    <s v="L&amp;G 82-R64"/>
    <x v="3"/>
    <s v="012 - Load Contactor"/>
    <x v="46"/>
    <s v="2-High"/>
    <s v=" "/>
    <d v="2024-10-07T00:00:00"/>
    <d v="1899-12-30T16:22:49"/>
    <s v="Passed"/>
    <s v="Passed"/>
    <s v="knjuguna(Kamau Njuguna)"/>
    <s v="knjuguna(Kamau Njuguna)"/>
    <s v="Executed"/>
    <s v="Done"/>
    <s v="U1300 R6.4 - NIC3 - Boost operation - Disabled"/>
    <m/>
  </r>
  <r>
    <n v="76"/>
    <s v="L&amp;G 82-R64"/>
    <x v="3"/>
    <s v="012 - Load Contactor"/>
    <x v="47"/>
    <s v="1-Critical"/>
    <s v=" "/>
    <d v="2024-10-08T00:00:00"/>
    <d v="1899-12-30T11:23:39"/>
    <s v="Passed"/>
    <s v="Passed"/>
    <s v="knjuguna(Kamau Njuguna)"/>
    <s v="knjuguna(Kamau Njuguna)"/>
    <s v="Executed"/>
    <s v="Done"/>
    <s v="U1300 R6.4 - NIC3 - Boost operation - Enabled - Boost (Boost Duration) minutes"/>
    <m/>
  </r>
  <r>
    <n v="74"/>
    <s v="L&amp;G 82-R64"/>
    <x v="0"/>
    <s v="012 - Load Contactor"/>
    <x v="40"/>
    <s v="1-Critical"/>
    <s v=" "/>
    <d v="2024-09-20T00:00:00"/>
    <d v="1899-12-30T09:55:12"/>
    <s v="Passed"/>
    <s v="Passed"/>
    <s v="mkalra(Manoj Kalra)"/>
    <s v="mkalra(Manoj Kalra)"/>
    <s v="Executed"/>
    <s v="Done"/>
    <s v="U3400 R6.4 - NIC5 - Meter load contactor - remote override (close)"/>
    <m/>
  </r>
  <r>
    <n v="73"/>
    <s v="L&amp;G 82-R64"/>
    <x v="0"/>
    <s v="012 - Load Contactor"/>
    <x v="41"/>
    <s v="1-Critical"/>
    <s v=" "/>
    <d v="2024-09-20T00:00:00"/>
    <d v="1899-12-30T10:59:45"/>
    <s v="Failed"/>
    <s v="Failed"/>
    <s v="mkalra(Manoj Kalra)"/>
    <s v="mkalra(Manoj Kalra)"/>
    <s v="Executed"/>
    <s v="Done"/>
    <s v="U3400 R6.4 - NIC5 - Meter load contactor - remote override (open)"/>
    <m/>
  </r>
  <r>
    <n v="75"/>
    <s v="L&amp;G 82-R64"/>
    <x v="0"/>
    <s v="012 - Load Contactor"/>
    <x v="42"/>
    <s v="1-Critical"/>
    <s v=" "/>
    <d v="2024-10-07T00:00:00"/>
    <d v="1899-12-30T10:22:40"/>
    <s v="Passed"/>
    <s v="Passed"/>
    <s v="mkalra(Manoj Kalra)"/>
    <s v="mkalra(Manoj Kalra)"/>
    <s v="Executed"/>
    <s v="Done"/>
    <s v="U3400 R6.4 - NIC5 - Meter load contactor - switching schedule 5-on-5-off"/>
    <m/>
  </r>
  <r>
    <n v="122"/>
    <s v="L&amp;G 82-R64"/>
    <x v="0"/>
    <s v="012 - Load Contactor"/>
    <x v="43"/>
    <s v="2-High"/>
    <s v=" "/>
    <d v="2024-10-03T00:00:00"/>
    <d v="1899-12-30T16:19:02"/>
    <s v="Passed"/>
    <s v="Passed"/>
    <s v="mkalra(Manoj Kalra)"/>
    <s v="mkalra(Manoj Kalra)"/>
    <s v="Executed"/>
    <s v="Done"/>
    <s v="U3400 R6.4 - NIC5 - Boost Primacy - Boost time longer than LC override"/>
    <m/>
  </r>
  <r>
    <n v="123"/>
    <s v="L&amp;G 82-R64"/>
    <x v="0"/>
    <s v="012 - Load Contactor"/>
    <x v="44"/>
    <s v="2-High"/>
    <s v=" "/>
    <d v="2024-09-20T00:00:00"/>
    <d v="1899-12-30T13:20:20"/>
    <s v="Passed"/>
    <s v="Passed"/>
    <s v="mkalra(Manoj Kalra)"/>
    <s v="mkalra(Manoj Kalra)"/>
    <s v="Executed"/>
    <s v="Done"/>
    <s v="U3400 R6.4 - NIC5 - Boost Primacy - Disabled"/>
    <m/>
  </r>
  <r>
    <n v="1725"/>
    <s v="L&amp;G 82-R64"/>
    <x v="0"/>
    <s v="012 - Load Contactor"/>
    <x v="45"/>
    <s v="2-High"/>
    <s v=" "/>
    <d v="2024-09-20T00:00:00"/>
    <d v="1899-12-30T15:01:06"/>
    <s v="Failed"/>
    <s v="Failed"/>
    <s v="mkalra(Manoj Kalra)"/>
    <s v="mkalra(Manoj Kalra)"/>
    <s v="Executed"/>
    <s v="Done"/>
    <s v="U3400 R6.4 - NIC5 - Boost Primacy - Enable-Disable"/>
    <m/>
  </r>
  <r>
    <n v="90"/>
    <s v="L&amp;G 82-R64"/>
    <x v="0"/>
    <s v="012 - Load Contactor"/>
    <x v="46"/>
    <s v="2-High"/>
    <s v=" "/>
    <d v="2024-09-24T00:00:00"/>
    <d v="1899-12-30T09:38:18"/>
    <s v="Passed"/>
    <s v="Passed"/>
    <s v="mkalra(Manoj Kalra)"/>
    <s v="mkalra(Manoj Kalra)"/>
    <s v="Executed"/>
    <s v="Done"/>
    <s v="U3400 R6.4 - NIC5 - Boost operation - Disabled"/>
    <m/>
  </r>
  <r>
    <n v="76"/>
    <s v="L&amp;G 82-R64"/>
    <x v="0"/>
    <s v="012 - Load Contactor"/>
    <x v="47"/>
    <s v="1-Critical"/>
    <s v=" "/>
    <d v="2024-09-24T00:00:00"/>
    <d v="1899-12-30T12:36:36"/>
    <s v="Passed"/>
    <s v="Passed"/>
    <s v="mkalra(Manoj Kalra)"/>
    <s v="mkalra(Manoj Kalra)"/>
    <s v="Executed"/>
    <s v="Done"/>
    <s v="U3400 R6.4 - NIC5 - Boost operation - Enabled - Boost (Boost Duration) minutes"/>
    <m/>
  </r>
  <r>
    <n v="74"/>
    <s v="L&amp;G 82-R64"/>
    <x v="2"/>
    <s v="012 - Load Contactor"/>
    <x v="40"/>
    <s v="1-Critical"/>
    <s v=" "/>
    <d v="2024-09-20T00:00:00"/>
    <d v="1899-12-30T14:12:26"/>
    <s v="Passed"/>
    <s v="Passed"/>
    <s v="knjuguna(Kamau Njuguna)"/>
    <s v="knjuguna(Kamau Njuguna)"/>
    <s v="Executed"/>
    <s v="Done"/>
    <s v="U1300 R6.4 - NIC5 - Meter load contactor - remote override (close)"/>
    <m/>
  </r>
  <r>
    <n v="73"/>
    <s v="L&amp;G 82-R64"/>
    <x v="2"/>
    <s v="012 - Load Contactor"/>
    <x v="41"/>
    <s v="1-Critical"/>
    <s v=" "/>
    <d v="2024-09-20T00:00:00"/>
    <d v="1899-12-30T14:56:33"/>
    <s v="Failed"/>
    <s v="Failed"/>
    <s v="knjuguna(Kamau Njuguna)"/>
    <s v="knjuguna(Kamau Njuguna)"/>
    <s v="Executed"/>
    <s v="Done"/>
    <s v="U1300 R6.4 - NIC5 - Meter load contactor - remote override (open)"/>
    <m/>
  </r>
  <r>
    <n v="75"/>
    <s v="L&amp;G 82-R64"/>
    <x v="2"/>
    <s v="012 - Load Contactor"/>
    <x v="42"/>
    <s v="1-Critical"/>
    <s v=" "/>
    <d v="2024-09-23T00:00:00"/>
    <d v="1899-12-30T09:23:34"/>
    <s v="Passed"/>
    <s v="Passed"/>
    <s v="knjuguna(Kamau Njuguna)"/>
    <s v="knjuguna(Kamau Njuguna)"/>
    <s v="Executed"/>
    <s v="Done"/>
    <s v="U1300 R6.4 - NIC5 - Meter load contactor - switching schedule 5-on-5-off"/>
    <m/>
  </r>
  <r>
    <n v="122"/>
    <s v="L&amp;G 82-R64"/>
    <x v="2"/>
    <s v="012 - Load Contactor"/>
    <x v="43"/>
    <s v="2-High"/>
    <s v=" "/>
    <d v="2024-10-04T00:00:00"/>
    <d v="1899-12-30T14:39:37"/>
    <s v="Passed"/>
    <s v="Passed"/>
    <s v="knjuguna(Kamau Njuguna)"/>
    <s v="knjuguna(Kamau Njuguna)"/>
    <s v="Executed"/>
    <s v="Done"/>
    <s v="U1300 R6.4 - NIC5 - Boost Primacy - Boost time longer than LC override"/>
    <m/>
  </r>
  <r>
    <n v="123"/>
    <s v="L&amp;G 82-R64"/>
    <x v="2"/>
    <s v="012 - Load Contactor"/>
    <x v="44"/>
    <s v="2-High"/>
    <s v=" "/>
    <d v="2024-10-04T00:00:00"/>
    <d v="1899-12-30T16:12:06"/>
    <s v="Passed"/>
    <s v="Passed"/>
    <s v="knjuguna(Kamau Njuguna)"/>
    <s v="knjuguna(Kamau Njuguna)"/>
    <s v="Executed"/>
    <s v="Done"/>
    <s v="U1300 R6.4 - NIC5 - Boost Primacy - Disabled"/>
    <m/>
  </r>
  <r>
    <n v="1725"/>
    <s v="L&amp;G 82-R64"/>
    <x v="2"/>
    <s v="012 - Load Contactor"/>
    <x v="45"/>
    <s v="2-High"/>
    <s v=" "/>
    <d v="2024-10-04T00:00:00"/>
    <d v="1899-12-30T16:56:58"/>
    <s v="Failed"/>
    <s v="Failed"/>
    <s v="knjuguna(Kamau Njuguna)"/>
    <s v="knjuguna(Kamau Njuguna)"/>
    <s v="Executed"/>
    <s v="Done"/>
    <s v="U1300 R6.4 - NIC5 - Boost Primacy - Enable-Disable"/>
    <m/>
  </r>
  <r>
    <n v="90"/>
    <s v="L&amp;G 82-R64"/>
    <x v="2"/>
    <s v="012 - Load Contactor"/>
    <x v="46"/>
    <s v="2-High"/>
    <s v=" "/>
    <d v="2024-10-07T00:00:00"/>
    <d v="1899-12-30T16:23:48"/>
    <s v="Passed"/>
    <s v="Passed"/>
    <s v="knjuguna(Kamau Njuguna)"/>
    <s v="knjuguna(Kamau Njuguna)"/>
    <s v="Executed"/>
    <s v="Done"/>
    <s v="U1300 R6.4 - NIC5 - Boost operation - Disabled"/>
    <m/>
  </r>
  <r>
    <n v="76"/>
    <s v="L&amp;G 82-R64"/>
    <x v="2"/>
    <s v="012 - Load Contactor"/>
    <x v="47"/>
    <s v="1-Critical"/>
    <s v=" "/>
    <d v="2024-10-08T00:00:00"/>
    <d v="1899-12-30T11:28:33"/>
    <s v="Passed"/>
    <s v="Passed"/>
    <s v="knjuguna(Kamau Njuguna)"/>
    <s v="knjuguna(Kamau Njuguna)"/>
    <s v="Executed"/>
    <s v="Done"/>
    <s v="U1300 R6.4 - NIC5 - Boost operation - Enabled - Boost (Boost Duration) minutes"/>
    <m/>
  </r>
  <r>
    <n v="79"/>
    <s v="L&amp;G 82-R64"/>
    <x v="1"/>
    <s v="014 - QoS"/>
    <x v="48"/>
    <s v="1-Critical"/>
    <s v=" "/>
    <d v="2024-10-09T00:00:00"/>
    <d v="1899-12-30T12:43:30"/>
    <s v="Passed"/>
    <s v="Passed"/>
    <s v="mkalra(Manoj Kalra)"/>
    <s v="mkalra(Manoj Kalra)"/>
    <s v="Executed"/>
    <s v="Done"/>
    <s v="U3400 R6.4 - NIC3 - Loss of phase supply on 3-phase meters"/>
    <m/>
  </r>
  <r>
    <n v="78"/>
    <s v="L&amp;G 82-R64"/>
    <x v="1"/>
    <s v="014 - QoS"/>
    <x v="49"/>
    <s v="1-Critical"/>
    <s v=" "/>
    <d v="2024-10-09T00:00:00"/>
    <d v="1899-12-30T16:48:55"/>
    <s v="Passed"/>
    <s v="Passed"/>
    <s v="mkalra(Manoj Kalra)"/>
    <s v="mkalra(Manoj Kalra)"/>
    <s v="Executed"/>
    <s v="Done"/>
    <s v="U3400 R6.4 - NIC3 - Loss of supply - threshold"/>
    <m/>
  </r>
  <r>
    <n v="120"/>
    <s v="L&amp;G 82-R64"/>
    <x v="1"/>
    <s v="014 - QoS"/>
    <x v="50"/>
    <s v="2-High"/>
    <s v=" "/>
    <d v="2024-10-15T00:00:00"/>
    <d v="1899-12-30T10:51:57"/>
    <s v="Not Completed"/>
    <s v="RBT"/>
    <s v="mkalra(Manoj Kalra)"/>
    <s v="mkalra(Manoj Kalra)"/>
    <s v="RBT"/>
    <s v="Done"/>
    <s v="U3400 R6.4 - NIC3 - Over temperature event - L&amp;G meters"/>
    <m/>
  </r>
  <r>
    <n v="146"/>
    <s v="L&amp;G 82-R64"/>
    <x v="1"/>
    <s v="014 - QoS"/>
    <x v="51"/>
    <s v="1-Critical"/>
    <s v=" "/>
    <d v="2024-10-11T00:00:00"/>
    <d v="1899-12-30T15:05:16"/>
    <s v="N/A"/>
    <s v="N/A"/>
    <s v="mkalra(Manoj Kalra)"/>
    <s v="mkalra(Manoj Kalra)"/>
    <s v="No Run"/>
    <s v="N/A"/>
    <s v="U3400 R6.4 - NIC3 - QoS - Low PF detection"/>
    <m/>
  </r>
  <r>
    <n v="80"/>
    <s v="L&amp;G 82-R64"/>
    <x v="1"/>
    <s v="014 - QoS"/>
    <x v="52"/>
    <s v="1-Critical"/>
    <s v=" "/>
    <d v="2024-10-09T00:00:00"/>
    <d v="1899-12-30T10:55:45"/>
    <s v="Passed"/>
    <s v="Passed"/>
    <s v="mkalra(Manoj Kalra)"/>
    <s v="mkalra(Manoj Kalra)"/>
    <s v="Executed"/>
    <s v="Done"/>
    <s v="U3400 R6.4 - NIC3 - QoS - Overvoltage and Undervoltage"/>
    <m/>
  </r>
  <r>
    <n v="145"/>
    <s v="L&amp;G 82-R64"/>
    <x v="1"/>
    <s v="014 - QoS"/>
    <x v="53"/>
    <s v="1-Critical"/>
    <s v=" "/>
    <d v="2024-10-09T00:00:00"/>
    <d v="1899-12-30T11:04:38"/>
    <s v="N/A"/>
    <s v="N/A"/>
    <s v="mkalra(Manoj Kalra)"/>
    <s v="mkalra(Manoj Kalra)"/>
    <s v="No Run"/>
    <s v="N/A"/>
    <s v="U3400 R6.4 - NIC3 - QoS - Voltage failure detection"/>
    <m/>
  </r>
  <r>
    <n v="78"/>
    <s v="L&amp;G 82-R64"/>
    <x v="3"/>
    <s v="014 - QoS"/>
    <x v="49"/>
    <s v="1-Critical"/>
    <s v=" "/>
    <d v="2024-10-08T00:00:00"/>
    <d v="1899-12-30T14:35:21"/>
    <s v="Passed"/>
    <s v="Passed"/>
    <s v="knjuguna(Kamau Njuguna)"/>
    <s v="knjuguna(Kamau Njuguna)"/>
    <s v="Executed"/>
    <s v="Done"/>
    <s v="U1300 R6.4 - NIC3 - Loss of supply - threshold"/>
    <m/>
  </r>
  <r>
    <n v="120"/>
    <s v="L&amp;G 82-R64"/>
    <x v="3"/>
    <s v="014 - QoS"/>
    <x v="50"/>
    <s v="2-High"/>
    <s v=" "/>
    <d v="2024-10-15T00:00:00"/>
    <d v="1899-12-30T11:55:51"/>
    <s v="Not Completed"/>
    <s v="Not Completed"/>
    <s v="knjuguna(Kamau Njuguna)"/>
    <s v="knjuguna(Kamau Njuguna)"/>
    <s v="Executed"/>
    <s v="Unfinished"/>
    <s v="U1300 R6.4 - NIC3 - Over temperature event - L&amp;G meters"/>
    <m/>
  </r>
  <r>
    <n v="146"/>
    <s v="L&amp;G 82-R64"/>
    <x v="3"/>
    <s v="014 - QoS"/>
    <x v="51"/>
    <s v="1-Critical"/>
    <s v="Not applicable to L&amp;G meters"/>
    <d v="2024-10-09T00:00:00"/>
    <d v="1899-12-30T09:02:38"/>
    <s v="N/A"/>
    <s v="N/A"/>
    <s v="knjuguna(Kamau Njuguna)"/>
    <s v="knjuguna(Kamau Njuguna)"/>
    <s v="No Run"/>
    <s v="N/A"/>
    <s v="U1300 R6.4 - NIC3 - QoS - Low PF detection"/>
    <m/>
  </r>
  <r>
    <n v="80"/>
    <s v="L&amp;G 82-R64"/>
    <x v="3"/>
    <s v="014 - QoS"/>
    <x v="52"/>
    <s v="1-Critical"/>
    <s v=" "/>
    <d v="2024-10-07T00:00:00"/>
    <d v="1899-12-30T15:59:29"/>
    <s v="Passed"/>
    <s v="Passed"/>
    <s v="knjuguna(Kamau Njuguna)"/>
    <s v="knjuguna(Kamau Njuguna)"/>
    <s v="Executed"/>
    <s v="Done"/>
    <s v="U1300 R6.4 - NIC3 - QoS - Overvoltage and Undervoltage"/>
    <m/>
  </r>
  <r>
    <n v="145"/>
    <s v="L&amp;G 82-R64"/>
    <x v="3"/>
    <s v="014 - QoS"/>
    <x v="53"/>
    <s v="1-Critical"/>
    <s v="Not applicable to L&amp;G meters"/>
    <d v="2024-10-09T00:00:00"/>
    <d v="1899-12-30T09:09:10"/>
    <s v="N/A"/>
    <s v="N/A"/>
    <s v="knjuguna(Kamau Njuguna)"/>
    <s v="knjuguna(Kamau Njuguna)"/>
    <s v="No Run"/>
    <s v="N/A"/>
    <s v="U1300 R6.4 - NIC3 - QoS - Voltage failure detection"/>
    <m/>
  </r>
  <r>
    <n v="79"/>
    <s v="L&amp;G 82-R64"/>
    <x v="0"/>
    <s v="014 - QoS"/>
    <x v="48"/>
    <s v="1-Critical"/>
    <s v=" "/>
    <d v="2024-10-09T00:00:00"/>
    <d v="1899-12-30T12:43:27"/>
    <s v="Passed"/>
    <s v="Passed"/>
    <s v="mkalra(Manoj Kalra)"/>
    <s v="mkalra(Manoj Kalra)"/>
    <s v="Executed"/>
    <s v="Done"/>
    <s v="U3400 R6.4 - NIC5 - Loss of phase supply on 3-phase meters"/>
    <m/>
  </r>
  <r>
    <n v="78"/>
    <s v="L&amp;G 82-R64"/>
    <x v="0"/>
    <s v="014 - QoS"/>
    <x v="49"/>
    <s v="1-Critical"/>
    <s v=" "/>
    <d v="2024-10-09T00:00:00"/>
    <d v="1899-12-30T16:48:56"/>
    <s v="Passed"/>
    <s v="Passed"/>
    <s v="mkalra(Manoj Kalra)"/>
    <s v="mkalra(Manoj Kalra)"/>
    <s v="Executed"/>
    <s v="Done"/>
    <s v="U3400 R6.4 - NIC5 - Loss of supply - threshold"/>
    <m/>
  </r>
  <r>
    <n v="120"/>
    <s v="L&amp;G 82-R64"/>
    <x v="0"/>
    <s v="014 - QoS"/>
    <x v="50"/>
    <s v="2-High"/>
    <s v="This Test is performed on U1300 Meters"/>
    <d v="2024-10-15T00:00:00"/>
    <d v="1899-12-30T10:49:45"/>
    <s v="Not Completed"/>
    <s v="RBT"/>
    <s v="mkalra(Manoj Kalra)"/>
    <s v="mkalra(Manoj Kalra)"/>
    <s v="RBT"/>
    <s v="Done"/>
    <s v="U3400 R6.4 - NIC5 - Over temperature event - L&amp;G meters"/>
    <m/>
  </r>
  <r>
    <n v="146"/>
    <s v="L&amp;G 82-R64"/>
    <x v="0"/>
    <s v="014 - QoS"/>
    <x v="51"/>
    <s v="1-Critical"/>
    <s v=" "/>
    <d v="2024-10-11T00:00:00"/>
    <d v="1899-12-30T15:05:27"/>
    <s v="N/A"/>
    <s v="N/A"/>
    <s v="mkalra(Manoj Kalra)"/>
    <s v="mkalra(Manoj Kalra)"/>
    <s v="No Run"/>
    <s v="N/A"/>
    <s v="U3400 R6.4 - NIC5 - QoS - Low PF detection"/>
    <m/>
  </r>
  <r>
    <n v="80"/>
    <s v="L&amp;G 82-R64"/>
    <x v="0"/>
    <s v="014 - QoS"/>
    <x v="52"/>
    <s v="1-Critical"/>
    <s v=" "/>
    <d v="2024-10-09T00:00:00"/>
    <d v="1899-12-30T10:55:49"/>
    <s v="Passed"/>
    <s v="Passed"/>
    <s v="mkalra(Manoj Kalra)"/>
    <s v="mkalra(Manoj Kalra)"/>
    <s v="Executed"/>
    <s v="Done"/>
    <s v="U3400 R6.4 - NIC5 - QoS - Overvoltage and Undervoltage"/>
    <m/>
  </r>
  <r>
    <n v="145"/>
    <s v="L&amp;G 82-R64"/>
    <x v="0"/>
    <s v="014 - QoS"/>
    <x v="53"/>
    <s v="1-Critical"/>
    <s v=" "/>
    <d v="2024-10-09T00:00:00"/>
    <d v="1899-12-30T11:04:53"/>
    <s v="N/A"/>
    <s v="N/A"/>
    <s v="mkalra(Manoj Kalra)"/>
    <s v="mkalra(Manoj Kalra)"/>
    <s v="No Run"/>
    <s v="N/A"/>
    <s v="U3400 R6.4 - NIC5 - QoS - Voltage failure detection"/>
    <m/>
  </r>
  <r>
    <n v="78"/>
    <s v="L&amp;G 82-R64"/>
    <x v="2"/>
    <s v="014 - QoS"/>
    <x v="49"/>
    <s v="1-Critical"/>
    <s v=" "/>
    <d v="2024-10-08T00:00:00"/>
    <d v="1899-12-30T14:41:53"/>
    <s v="Passed"/>
    <s v="Passed"/>
    <s v="knjuguna(Kamau Njuguna)"/>
    <s v="knjuguna(Kamau Njuguna)"/>
    <s v="Executed"/>
    <s v="Done"/>
    <s v="U1300 R6.4 - NIC5 - Loss of supply - threshold"/>
    <m/>
  </r>
  <r>
    <n v="120"/>
    <s v="L&amp;G 82-R64"/>
    <x v="2"/>
    <s v="014 - QoS"/>
    <x v="50"/>
    <s v="2-High"/>
    <s v="NIC320 meter has been tested"/>
    <d v="2024-10-15T00:00:00"/>
    <d v="1899-12-30T11:52:39"/>
    <s v="Not Completed"/>
    <s v="RBT"/>
    <s v="knjuguna(Kamau Njuguna)"/>
    <s v="knjuguna(Kamau Njuguna)"/>
    <s v="RBT"/>
    <s v="Done"/>
    <s v="U1300 R6.4 - NIC5 - Over temperature event - L&amp;G meters"/>
    <m/>
  </r>
  <r>
    <n v="146"/>
    <s v="L&amp;G 82-R64"/>
    <x v="2"/>
    <s v="014 - QoS"/>
    <x v="51"/>
    <s v="1-Critical"/>
    <s v="Not applicable to L&amp;G meters"/>
    <d v="2024-10-09T00:00:00"/>
    <d v="1899-12-30T09:03:37"/>
    <s v="N/A"/>
    <s v="N/A"/>
    <s v="knjuguna(Kamau Njuguna)"/>
    <s v="knjuguna(Kamau Njuguna)"/>
    <s v="No Run"/>
    <s v="N/A"/>
    <s v="U1300 R6.4 - NIC5 - QoS - Low PF detection"/>
    <m/>
  </r>
  <r>
    <n v="80"/>
    <s v="L&amp;G 82-R64"/>
    <x v="2"/>
    <s v="014 - QoS"/>
    <x v="52"/>
    <s v="1-Critical"/>
    <s v=" "/>
    <d v="2024-10-07T00:00:00"/>
    <d v="1899-12-30T16:01:11"/>
    <s v="Passed"/>
    <s v="Passed"/>
    <s v="knjuguna(Kamau Njuguna)"/>
    <s v="knjuguna(Kamau Njuguna)"/>
    <s v="Executed"/>
    <s v="Done"/>
    <s v="U1300 R6.4 - NIC5 - QoS - Overvoltage and Undervoltage"/>
    <m/>
  </r>
  <r>
    <n v="145"/>
    <s v="L&amp;G 82-R64"/>
    <x v="2"/>
    <s v="014 - QoS"/>
    <x v="53"/>
    <s v="1-Critical"/>
    <s v="Not applicable to L&amp;G meters"/>
    <d v="2024-10-09T00:00:00"/>
    <d v="1899-12-30T09:11:40"/>
    <s v="N/A"/>
    <s v="N/A"/>
    <s v="knjuguna(Kamau Njuguna)"/>
    <s v="knjuguna(Kamau Njuguna)"/>
    <s v="No Run"/>
    <s v="N/A"/>
    <s v="U1300 R6.4 - NIC5 - QoS - Voltage failure detection"/>
    <m/>
  </r>
  <r>
    <n v="77"/>
    <s v="L&amp;G 82-R64"/>
    <x v="3"/>
    <s v="014 - QoS"/>
    <x v="54"/>
    <s v="1-Critical"/>
    <s v=" "/>
    <d v="2024-10-09T00:00:00"/>
    <d v="1899-12-30T16:35:04"/>
    <s v="Passed"/>
    <s v="Passed"/>
    <s v="knjuguna(Kamau Njuguna)"/>
    <s v="knjuguna(Kamau Njuguna)"/>
    <s v="Executed"/>
    <s v="Done"/>
    <s v="U1300 R6.4 - NIC3 - Loss of supply - Verify last gasp for multiple meter outage"/>
    <m/>
  </r>
  <r>
    <n v="77"/>
    <s v="L&amp;G 82-R64"/>
    <x v="2"/>
    <s v="014 - QoS"/>
    <x v="54"/>
    <s v="1-Critical"/>
    <s v=" "/>
    <d v="2024-10-09T00:00:00"/>
    <d v="1899-12-30T16:25:19"/>
    <s v="Passed"/>
    <s v="Passed"/>
    <s v="knjuguna(Kamau Njuguna)"/>
    <s v="knjuguna(Kamau Njuguna)"/>
    <s v="Executed"/>
    <s v="Done"/>
    <s v="U1300 R6.4 - NIC5 - Loss of supply - Verify last gasp for multiple meter outage"/>
    <m/>
  </r>
  <r>
    <n v="77"/>
    <s v="L&amp;G 82-R64"/>
    <x v="1"/>
    <s v="014 - QoS"/>
    <x v="54"/>
    <s v="1-Critical"/>
    <s v=" "/>
    <d v="2024-10-10T00:00:00"/>
    <d v="1899-12-30T10:14:59"/>
    <s v="Passed"/>
    <s v="Passed"/>
    <s v="mkalra(Manoj Kalra)"/>
    <s v="mkalra(Manoj Kalra)"/>
    <s v="Executed"/>
    <s v="Done"/>
    <s v="U3400 R6.4 - NIC3 - Loss of supply - Verify last gasp for multiple meter outage"/>
    <m/>
  </r>
  <r>
    <n v="77"/>
    <s v="L&amp;G 82-R64"/>
    <x v="0"/>
    <s v="014 - QoS"/>
    <x v="54"/>
    <s v="1-Critical"/>
    <s v=" "/>
    <d v="2024-10-09T00:00:00"/>
    <d v="1899-12-30T17:27:54"/>
    <s v="Passed"/>
    <s v="Passed"/>
    <s v="mkalra(Manoj Kalra)"/>
    <s v="mkalra(Manoj Kalra)"/>
    <s v="Executed"/>
    <s v="Done"/>
    <s v="U3400 R6.4 - NIC5 - Loss of supply - Verify last gasp for multiple meter outage"/>
    <m/>
  </r>
  <r>
    <n v="148"/>
    <s v="L&amp;G 82-R64"/>
    <x v="1"/>
    <s v="015 - SIQ"/>
    <x v="55"/>
    <s v="1-Critical"/>
    <s v=" "/>
    <d v="2024-10-10T00:00:00"/>
    <d v="1899-12-30T17:18:39"/>
    <s v="Passed"/>
    <s v="Passed"/>
    <s v="mkalra(Manoj Kalra)"/>
    <s v="mkalra(Manoj Kalra)"/>
    <s v="Executed"/>
    <s v="Done"/>
    <s v="U3400 R6.4 - NIC3 - SIQ Profile Sanity Check"/>
    <m/>
  </r>
  <r>
    <n v="148"/>
    <s v="L&amp;G 82-R64"/>
    <x v="3"/>
    <s v="015 - SIQ"/>
    <x v="55"/>
    <s v="1-Critical"/>
    <s v=" "/>
    <d v="2024-10-09T00:00:00"/>
    <d v="1899-12-30T12:52:56"/>
    <s v="Passed"/>
    <s v="Passed"/>
    <s v="knjuguna(Kamau Njuguna)"/>
    <s v="knjuguna(Kamau Njuguna)"/>
    <s v="Executed"/>
    <s v="Done"/>
    <s v="U1300 R6.4 - NIC3 - SIQ Profile Sanity Check"/>
    <m/>
  </r>
  <r>
    <n v="148"/>
    <s v="L&amp;G 82-R64"/>
    <x v="0"/>
    <s v="015 - SIQ"/>
    <x v="55"/>
    <s v="1-Critical"/>
    <s v=" "/>
    <d v="2024-10-10T00:00:00"/>
    <d v="1899-12-30T17:18:33"/>
    <s v="Passed"/>
    <s v="Passed"/>
    <s v="mkalra(Manoj Kalra)"/>
    <s v="mkalra(Manoj Kalra)"/>
    <s v="Executed"/>
    <s v="Done"/>
    <s v="U3400 R6.4 - NIC5 - SIQ Profile Sanity Check"/>
    <m/>
  </r>
  <r>
    <n v="148"/>
    <s v="L&amp;G 82-R64"/>
    <x v="2"/>
    <s v="015 - SIQ"/>
    <x v="55"/>
    <s v="1-Critical"/>
    <s v=" "/>
    <d v="2024-10-09T00:00:00"/>
    <d v="1899-12-30T13:15:16"/>
    <s v="Passed"/>
    <s v="Passed"/>
    <s v="knjuguna(Kamau Njuguna)"/>
    <s v="knjuguna(Kamau Njuguna)"/>
    <s v="Executed"/>
    <s v="Done"/>
    <s v="U1300 R6.4 - NIC5 - SIQ Profile Sanity Check"/>
    <m/>
  </r>
  <r>
    <n v="106"/>
    <s v="L&amp;G 82-R64"/>
    <x v="0"/>
    <s v="016 - HAN"/>
    <x v="56"/>
    <s v="1-Critical"/>
    <s v=" "/>
    <d v="2024-10-14T00:00:00"/>
    <d v="1899-12-30T15:42:44"/>
    <s v="RBT"/>
    <s v="Passed"/>
    <s v="mkalra(Manoj Kalra)"/>
    <s v="mkalra(Manoj Kalra)"/>
    <s v="Executed"/>
    <s v="Done"/>
    <s v="U3400 R6.4 - NIC5 - HCM -  Display meter consumption on IHD"/>
    <m/>
  </r>
  <r>
    <n v="106"/>
    <s v="L&amp;G 82-R64"/>
    <x v="1"/>
    <s v="016 - HAN"/>
    <x v="56"/>
    <s v="1-Critical"/>
    <s v=" "/>
    <d v="2024-10-14T00:00:00"/>
    <d v="1899-12-30T15:06:19"/>
    <s v="RBT"/>
    <s v="Blocked"/>
    <s v="mkalra(Manoj Kalra)"/>
    <s v="mkalra(Manoj Kalra)"/>
    <s v="No Run"/>
    <s v="Blocked"/>
    <s v="U3400 R6.4 - NIC3 - HCM -  Display meter consumption on IHD"/>
    <m/>
  </r>
  <r>
    <n v="106"/>
    <s v="L&amp;G 82-R64"/>
    <x v="2"/>
    <s v="016 - HAN"/>
    <x v="56"/>
    <s v="1-Critical"/>
    <s v="No appropriate meter with HAN certificate but passed on NIC320 meter"/>
    <d v="2024-10-15T00:00:00"/>
    <d v="1899-12-30T14:32:54"/>
    <s v="RBT"/>
    <s v="RBT"/>
    <s v="knjuguna(Kamau Njuguna)"/>
    <s v="knjuguna(Kamau Njuguna)"/>
    <s v="RBT"/>
    <s v="Done"/>
    <s v="U1300 R6.4 - NIC5 - HCM -  Display meter consumption on IHD"/>
    <m/>
  </r>
  <r>
    <n v="106"/>
    <s v="L&amp;G 82-R64"/>
    <x v="3"/>
    <s v="016 - HAN"/>
    <x v="56"/>
    <s v="1-Critical"/>
    <s v=" "/>
    <d v="2024-10-14T00:00:00"/>
    <d v="1899-12-30T15:16:09"/>
    <s v="RBT"/>
    <s v="Passed"/>
    <s v="knjuguna(Kamau Njuguna)"/>
    <s v="knjuguna(Kamau Njuguna)"/>
    <s v="Executed"/>
    <s v="Done"/>
    <s v="U1300 R6.4 - NIC3 - HCM -  Display meter consumption on IHD"/>
    <m/>
  </r>
  <r>
    <n v="104"/>
    <s v="L&amp;G 82-R64"/>
    <x v="3"/>
    <s v="016 - HAN"/>
    <x v="57"/>
    <s v="3-Medium"/>
    <s v=" "/>
    <d v="2024-09-24T00:00:00"/>
    <d v="1899-12-30T17:13:41"/>
    <s v="RBT"/>
    <s v="RBT"/>
    <s v="mkalra(Manoj Kalra)"/>
    <s v="knjuguna(Kamau Njuguna)"/>
    <s v="RBT"/>
    <s v="Done"/>
    <s v="U1300 R6.4 - NIC3 - HCM -  Support for 2E meters metering cluster"/>
    <m/>
  </r>
  <r>
    <n v="104"/>
    <s v="L&amp;G 82-R64"/>
    <x v="2"/>
    <s v="016 - HAN"/>
    <x v="57"/>
    <s v="3-Medium"/>
    <s v=" "/>
    <d v="2024-09-24T00:00:00"/>
    <d v="1899-12-30T17:15:24"/>
    <s v="RBT"/>
    <s v="RBT"/>
    <s v="mkalra(Manoj Kalra)"/>
    <s v="knjuguna(Kamau Njuguna)"/>
    <s v="RBT"/>
    <s v="Done"/>
    <s v="U1300 R6.4 - NIC5 - HCM -  Support for 2E meters metering cluster"/>
    <m/>
  </r>
  <r>
    <n v="104"/>
    <s v="L&amp;G 82-R64"/>
    <x v="1"/>
    <s v="016 - HAN"/>
    <x v="57"/>
    <s v="3-Medium"/>
    <s v=" "/>
    <d v="2024-09-24T00:00:00"/>
    <d v="1899-12-30T17:15:54"/>
    <s v="RBT"/>
    <s v="RBT"/>
    <s v="mkalra(Manoj Kalra)"/>
    <s v="mkalra(Manoj Kalra)"/>
    <s v="RBT"/>
    <s v="Done"/>
    <s v="U3400 R6.4 - NIC3 - HCM -  Support for 2E meters metering cluster"/>
    <m/>
  </r>
  <r>
    <n v="104"/>
    <s v="L&amp;G 82-R64"/>
    <x v="0"/>
    <s v="016 - HAN"/>
    <x v="57"/>
    <s v="3-Medium"/>
    <s v=" "/>
    <d v="2024-09-24T00:00:00"/>
    <d v="1899-12-30T17:17:17"/>
    <s v="RBT"/>
    <s v="RBT"/>
    <s v="mkalra(Manoj Kalra)"/>
    <s v="mkalra(Manoj Kalra)"/>
    <s v="RBT"/>
    <s v="Done"/>
    <s v="U3400 R6.4 - NIC5 - HCM -  Support for 2E meters metering cluster"/>
    <m/>
  </r>
  <r>
    <n v="93"/>
    <s v="L&amp;G 82-R64"/>
    <x v="3"/>
    <s v="016 - HAN"/>
    <x v="58"/>
    <s v="2-High"/>
    <s v=" "/>
    <d v="2024-09-24T00:00:00"/>
    <d v="1899-12-30T17:14:11"/>
    <s v="RBT"/>
    <s v="RBT"/>
    <s v="mkalra(Manoj Kalra)"/>
    <s v="knjuguna(Kamau Njuguna)"/>
    <s v="RBT"/>
    <s v="Done"/>
    <s v="U1300 R6.4 - NIC3 - HCM - Import IHD"/>
    <m/>
  </r>
  <r>
    <n v="94"/>
    <s v="L&amp;G 82-R64"/>
    <x v="3"/>
    <s v="016 - HAN"/>
    <x v="59"/>
    <s v="2-High"/>
    <s v=" "/>
    <d v="2024-09-24T00:00:00"/>
    <d v="1899-12-30T17:14:08"/>
    <s v="RBT"/>
    <s v="RBT"/>
    <s v="mkalra(Manoj Kalra)"/>
    <s v="knjuguna(Kamau Njuguna)"/>
    <s v="RBT"/>
    <s v="Done"/>
    <s v="U1300 R6.4 - NIC3 - HCM - Import ESI"/>
    <m/>
  </r>
  <r>
    <n v="95"/>
    <s v="L&amp;G 82-R64"/>
    <x v="3"/>
    <s v="016 - HAN"/>
    <x v="60"/>
    <s v="2-High"/>
    <s v=" "/>
    <d v="2024-09-24T00:00:00"/>
    <d v="1899-12-30T17:14:16"/>
    <s v="RBT"/>
    <s v="RBT"/>
    <s v="mkalra(Manoj Kalra)"/>
    <s v="knjuguna(Kamau Njuguna)"/>
    <s v="RBT"/>
    <s v="Done"/>
    <s v="U1300 R6.4 - NIC3 - HCM - Sync ESI"/>
    <m/>
  </r>
  <r>
    <n v="96"/>
    <s v="L&amp;G 82-R64"/>
    <x v="3"/>
    <s v="016 - HAN"/>
    <x v="61"/>
    <s v="2-High"/>
    <s v=" "/>
    <d v="2024-09-24T00:00:00"/>
    <d v="1899-12-30T17:14:14"/>
    <s v="RBT"/>
    <s v="RBT"/>
    <s v="mkalra(Manoj Kalra)"/>
    <s v="knjuguna(Kamau Njuguna)"/>
    <s v="RBT"/>
    <s v="Done"/>
    <s v="U1300 R6.4 - NIC3 - HCM - Provision ESI"/>
    <m/>
  </r>
  <r>
    <n v="97"/>
    <s v="L&amp;G 82-R64"/>
    <x v="3"/>
    <s v="016 - HAN"/>
    <x v="62"/>
    <s v="2-High"/>
    <s v=" "/>
    <d v="2024-09-24T00:00:00"/>
    <d v="1899-12-30T17:13:48"/>
    <s v="RBT"/>
    <s v="RBT"/>
    <s v="mkalra(Manoj Kalra)"/>
    <s v="knjuguna(Kamau Njuguna)"/>
    <s v="RBT"/>
    <s v="Done"/>
    <s v="U1300 R6.4 - NIC3 - HCM -  Associate IHD to ESI"/>
    <m/>
  </r>
  <r>
    <n v="98"/>
    <s v="L&amp;G 82-R64"/>
    <x v="3"/>
    <s v="016 - HAN"/>
    <x v="63"/>
    <s v="2-High"/>
    <s v=" "/>
    <d v="2024-09-24T00:00:00"/>
    <d v="1899-12-30T17:14:00"/>
    <s v="RBT"/>
    <s v="RBT"/>
    <s v="mkalra(Manoj Kalra)"/>
    <s v="knjuguna(Kamau Njuguna)"/>
    <s v="RBT"/>
    <s v="Done"/>
    <s v="U1300 R6.4 - NIC3 - HCM -  Join IHD to ESI"/>
    <m/>
  </r>
  <r>
    <n v="99"/>
    <s v="L&amp;G 82-R64"/>
    <x v="3"/>
    <s v="016 - HAN"/>
    <x v="64"/>
    <s v="2-High"/>
    <s v=" "/>
    <d v="2024-09-24T00:00:00"/>
    <d v="1899-12-30T17:14:03"/>
    <s v="RBT"/>
    <s v="RBT"/>
    <s v="mkalra(Manoj Kalra)"/>
    <s v="knjuguna(Kamau Njuguna)"/>
    <s v="RBT"/>
    <s v="Done"/>
    <s v="U1300 R6.4 - NIC3 - HCM -  Ping IHD via ESI"/>
    <m/>
  </r>
  <r>
    <n v="101"/>
    <s v="L&amp;G 82-R64"/>
    <x v="3"/>
    <s v="016 - HAN"/>
    <x v="65"/>
    <s v="2-High"/>
    <s v=" "/>
    <d v="2024-09-24T00:00:00"/>
    <d v="1899-12-30T17:14:06"/>
    <s v="RBT"/>
    <s v="RBT"/>
    <s v="mkalra(Manoj Kalra)"/>
    <s v="knjuguna(Kamau Njuguna)"/>
    <s v="RBT"/>
    <s v="Done"/>
    <s v="U1300 R6.4 - NIC3 - HCM -  Unjoin IHD to ESI"/>
    <m/>
  </r>
  <r>
    <n v="102"/>
    <s v="L&amp;G 82-R64"/>
    <x v="3"/>
    <s v="016 - HAN"/>
    <x v="66"/>
    <s v="3-Medium"/>
    <s v=" "/>
    <d v="2024-09-24T00:00:00"/>
    <d v="1899-12-30T17:13:54"/>
    <s v="RBT"/>
    <s v="RBT"/>
    <s v="mkalra(Manoj Kalra)"/>
    <s v="knjuguna(Kamau Njuguna)"/>
    <s v="RBT"/>
    <s v="Done"/>
    <s v="U1300 R6.4 - NIC3 - HCM -  HAN secure key establishment"/>
    <m/>
  </r>
  <r>
    <n v="103"/>
    <s v="L&amp;G 82-R64"/>
    <x v="3"/>
    <s v="016 - HAN"/>
    <x v="67"/>
    <s v="3-Medium"/>
    <s v=" "/>
    <d v="2024-09-24T00:00:00"/>
    <d v="1899-12-30T17:13:51"/>
    <s v="RBT"/>
    <s v="RBT"/>
    <s v="mkalra(Manoj Kalra)"/>
    <s v="knjuguna(Kamau Njuguna)"/>
    <s v="RBT"/>
    <s v="Done"/>
    <s v="U1300 R6.4 - NIC3 - HCM -  Enroll ESI to HCM program"/>
    <m/>
  </r>
  <r>
    <n v="105"/>
    <s v="L&amp;G 82-R64"/>
    <x v="3"/>
    <s v="016 - HAN"/>
    <x v="68"/>
    <s v="2-High"/>
    <s v=" "/>
    <d v="2024-09-24T00:00:00"/>
    <d v="1899-12-30T17:14:18"/>
    <s v="RBT"/>
    <s v="RBT"/>
    <s v="mkalra(Manoj Kalra)"/>
    <s v="knjuguna(Kamau Njuguna)"/>
    <s v="RBT"/>
    <s v="Done"/>
    <s v="U1300 R6.4 - NIC3 - NC -  HAN radio diagnostic commands"/>
    <m/>
  </r>
  <r>
    <n v="93"/>
    <s v="L&amp;G 82-R64"/>
    <x v="2"/>
    <s v="016 - HAN"/>
    <x v="58"/>
    <s v="2-High"/>
    <s v=" "/>
    <d v="2024-09-24T00:00:00"/>
    <d v="1899-12-30T17:14:53"/>
    <s v="RBT"/>
    <s v="RBT"/>
    <s v="mkalra(Manoj Kalra)"/>
    <s v="knjuguna(Kamau Njuguna)"/>
    <s v="RBT"/>
    <s v="Done"/>
    <s v="U1300 R6.4 - NIC5 - HCM - Import IHD"/>
    <m/>
  </r>
  <r>
    <n v="94"/>
    <s v="L&amp;G 82-R64"/>
    <x v="2"/>
    <s v="016 - HAN"/>
    <x v="59"/>
    <s v="2-High"/>
    <s v=" "/>
    <d v="2024-09-24T00:00:00"/>
    <d v="1899-12-30T17:15:02"/>
    <s v="RBT"/>
    <s v="RBT"/>
    <s v="mkalra(Manoj Kalra)"/>
    <s v="knjuguna(Kamau Njuguna)"/>
    <s v="RBT"/>
    <s v="Done"/>
    <s v="U1300 R6.4 - NIC5 - HCM - Import ESI"/>
    <m/>
  </r>
  <r>
    <n v="95"/>
    <s v="L&amp;G 82-R64"/>
    <x v="2"/>
    <s v="016 - HAN"/>
    <x v="60"/>
    <s v="2-High"/>
    <s v=" "/>
    <d v="2024-09-24T00:00:00"/>
    <d v="1899-12-30T17:15:14"/>
    <s v="RBT"/>
    <s v="RBT"/>
    <s v="mkalra(Manoj Kalra)"/>
    <s v="knjuguna(Kamau Njuguna)"/>
    <s v="RBT"/>
    <s v="Done"/>
    <s v="U1300 R6.4 - NIC5 - HCM - Sync ESI"/>
    <m/>
  </r>
  <r>
    <n v="96"/>
    <s v="L&amp;G 82-R64"/>
    <x v="2"/>
    <s v="016 - HAN"/>
    <x v="61"/>
    <s v="2-High"/>
    <s v=" "/>
    <d v="2024-09-24T00:00:00"/>
    <d v="1899-12-30T17:14:52"/>
    <s v="RBT"/>
    <s v="RBT"/>
    <s v="mkalra(Manoj Kalra)"/>
    <s v="knjuguna(Kamau Njuguna)"/>
    <s v="RBT"/>
    <s v="Done"/>
    <s v="U1300 R6.4 - NIC5 - HCM - Provision ESI"/>
    <m/>
  </r>
  <r>
    <n v="97"/>
    <s v="L&amp;G 82-R64"/>
    <x v="2"/>
    <s v="016 - HAN"/>
    <x v="62"/>
    <s v="2-High"/>
    <s v=" "/>
    <d v="2024-09-24T00:00:00"/>
    <d v="1899-12-30T17:15:25"/>
    <s v="RBT"/>
    <s v="RBT"/>
    <s v="mkalra(Manoj Kalra)"/>
    <s v="knjuguna(Kamau Njuguna)"/>
    <s v="RBT"/>
    <s v="Done"/>
    <s v="U1300 R6.4 - NIC5 - HCM -  Associate IHD to ESI"/>
    <m/>
  </r>
  <r>
    <n v="98"/>
    <s v="L&amp;G 82-R64"/>
    <x v="2"/>
    <s v="016 - HAN"/>
    <x v="63"/>
    <s v="2-High"/>
    <s v=" "/>
    <d v="2024-09-24T00:00:00"/>
    <d v="1899-12-30T17:15:01"/>
    <s v="RBT"/>
    <s v="RBT"/>
    <s v="mkalra(Manoj Kalra)"/>
    <s v="knjuguna(Kamau Njuguna)"/>
    <s v="RBT"/>
    <s v="Done"/>
    <s v="U1300 R6.4 - NIC5 - HCM -  Join IHD to ESI"/>
    <m/>
  </r>
  <r>
    <n v="99"/>
    <s v="L&amp;G 82-R64"/>
    <x v="2"/>
    <s v="016 - HAN"/>
    <x v="64"/>
    <s v="2-High"/>
    <s v=" "/>
    <d v="2024-09-24T00:00:00"/>
    <d v="1899-12-30T17:14:55"/>
    <s v="RBT"/>
    <s v="RBT"/>
    <s v="mkalra(Manoj Kalra)"/>
    <s v="knjuguna(Kamau Njuguna)"/>
    <s v="RBT"/>
    <s v="Done"/>
    <s v="U1300 R6.4 - NIC5 - HCM -  Ping IHD via ESI"/>
    <m/>
  </r>
  <r>
    <n v="101"/>
    <s v="L&amp;G 82-R64"/>
    <x v="2"/>
    <s v="016 - HAN"/>
    <x v="65"/>
    <s v="2-High"/>
    <s v=" "/>
    <d v="2024-09-24T00:00:00"/>
    <d v="1899-12-30T17:14:54"/>
    <s v="RBT"/>
    <s v="RBT"/>
    <s v="mkalra(Manoj Kalra)"/>
    <s v="knjuguna(Kamau Njuguna)"/>
    <s v="RBT"/>
    <s v="Done"/>
    <s v="U1300 R6.4 - NIC5 - HCM -  Unjoin IHD to ESI"/>
    <m/>
  </r>
  <r>
    <n v="102"/>
    <s v="L&amp;G 82-R64"/>
    <x v="2"/>
    <s v="016 - HAN"/>
    <x v="66"/>
    <s v="3-Medium"/>
    <s v=" "/>
    <d v="2024-09-24T00:00:00"/>
    <d v="1899-12-30T17:14:57"/>
    <s v="RBT"/>
    <s v="RBT"/>
    <s v="mkalra(Manoj Kalra)"/>
    <s v="knjuguna(Kamau Njuguna)"/>
    <s v="RBT"/>
    <s v="Done"/>
    <s v="U1300 R6.4 - NIC5 - HCM -  HAN secure key establishment"/>
    <m/>
  </r>
  <r>
    <n v="103"/>
    <s v="L&amp;G 82-R64"/>
    <x v="2"/>
    <s v="016 - HAN"/>
    <x v="67"/>
    <s v="3-Medium"/>
    <s v=" "/>
    <d v="2024-09-24T00:00:00"/>
    <d v="1899-12-30T17:14:59"/>
    <s v="RBT"/>
    <s v="RBT"/>
    <s v="mkalra(Manoj Kalra)"/>
    <s v="knjuguna(Kamau Njuguna)"/>
    <s v="RBT"/>
    <s v="Done"/>
    <s v="U1300 R6.4 - NIC5 - HCM -  Enroll ESI to HCM program"/>
    <m/>
  </r>
  <r>
    <n v="105"/>
    <s v="L&amp;G 82-R64"/>
    <x v="2"/>
    <s v="016 - HAN"/>
    <x v="68"/>
    <s v="2-High"/>
    <s v=" "/>
    <d v="2024-09-24T00:00:00"/>
    <d v="1899-12-30T17:14:50"/>
    <s v="RBT"/>
    <s v="RBT"/>
    <s v="mkalra(Manoj Kalra)"/>
    <s v="knjuguna(Kamau Njuguna)"/>
    <s v="RBT"/>
    <s v="Done"/>
    <s v="U1300 R6.4 - NIC5 - NC -  HAN radio diagnostic commands"/>
    <m/>
  </r>
  <r>
    <n v="93"/>
    <s v="L&amp;G 82-R64"/>
    <x v="1"/>
    <s v="016 - HAN"/>
    <x v="58"/>
    <s v="2-High"/>
    <s v=" "/>
    <d v="2024-09-24T00:00:00"/>
    <d v="1899-12-30T17:16:04"/>
    <s v="RBT"/>
    <s v="RBT"/>
    <s v="mkalra(Manoj Kalra)"/>
    <s v="mkalra(Manoj Kalra)"/>
    <s v="RBT"/>
    <s v="Done"/>
    <s v="U3400 R6.4 - NIC3 - HCM - Import IHD"/>
    <m/>
  </r>
  <r>
    <n v="94"/>
    <s v="L&amp;G 82-R64"/>
    <x v="1"/>
    <s v="016 - HAN"/>
    <x v="59"/>
    <s v="2-High"/>
    <s v=" "/>
    <d v="2024-09-24T00:00:00"/>
    <d v="1899-12-30T17:16:03"/>
    <s v="RBT"/>
    <s v="RBT"/>
    <s v="mkalra(Manoj Kalra)"/>
    <s v="mkalra(Manoj Kalra)"/>
    <s v="RBT"/>
    <s v="Done"/>
    <s v="U3400 R6.4 - NIC3 - HCM - Import ESI"/>
    <m/>
  </r>
  <r>
    <n v="95"/>
    <s v="L&amp;G 82-R64"/>
    <x v="1"/>
    <s v="016 - HAN"/>
    <x v="60"/>
    <s v="2-High"/>
    <s v=" "/>
    <d v="2024-09-24T00:00:00"/>
    <d v="1899-12-30T17:16:07"/>
    <s v="RBT"/>
    <s v="RBT"/>
    <s v="mkalra(Manoj Kalra)"/>
    <s v="mkalra(Manoj Kalra)"/>
    <s v="RBT"/>
    <s v="Done"/>
    <s v="U3400 R6.4 - NIC3 - HCM - Sync ESI"/>
    <m/>
  </r>
  <r>
    <n v="96"/>
    <s v="L&amp;G 82-R64"/>
    <x v="1"/>
    <s v="016 - HAN"/>
    <x v="61"/>
    <s v="2-High"/>
    <s v=" "/>
    <d v="2024-09-24T00:00:00"/>
    <d v="1899-12-30T17:16:06"/>
    <s v="RBT"/>
    <s v="RBT"/>
    <s v="mkalra(Manoj Kalra)"/>
    <s v="mkalra(Manoj Kalra)"/>
    <s v="RBT"/>
    <s v="Done"/>
    <s v="U3400 R6.4 - NIC3 - HCM - Provision ESI"/>
    <m/>
  </r>
  <r>
    <n v="97"/>
    <s v="L&amp;G 82-R64"/>
    <x v="1"/>
    <s v="016 - HAN"/>
    <x v="62"/>
    <s v="2-High"/>
    <s v=" "/>
    <d v="2024-09-24T00:00:00"/>
    <d v="1899-12-30T17:15:55"/>
    <s v="RBT"/>
    <s v="RBT"/>
    <s v="mkalra(Manoj Kalra)"/>
    <s v="mkalra(Manoj Kalra)"/>
    <s v="RBT"/>
    <s v="Done"/>
    <s v="U3400 R6.4 - NIC3 - HCM -  Associate IHD to ESI"/>
    <m/>
  </r>
  <r>
    <n v="98"/>
    <s v="L&amp;G 82-R64"/>
    <x v="1"/>
    <s v="016 - HAN"/>
    <x v="63"/>
    <s v="2-High"/>
    <s v=" "/>
    <d v="2024-09-24T00:00:00"/>
    <d v="1899-12-30T17:15:59"/>
    <s v="RBT"/>
    <s v="RBT"/>
    <s v="mkalra(Manoj Kalra)"/>
    <s v="mkalra(Manoj Kalra)"/>
    <s v="RBT"/>
    <s v="Done"/>
    <s v="U3400 R6.4 - NIC3 - HCM -  Join IHD to ESI"/>
    <m/>
  </r>
  <r>
    <n v="99"/>
    <s v="L&amp;G 82-R64"/>
    <x v="1"/>
    <s v="016 - HAN"/>
    <x v="64"/>
    <s v="2-High"/>
    <s v=" "/>
    <d v="2024-09-24T00:00:00"/>
    <d v="1899-12-30T17:16:16"/>
    <s v="RBT"/>
    <s v="RBT"/>
    <s v="mkalra(Manoj Kalra)"/>
    <s v="mkalra(Manoj Kalra)"/>
    <s v="RBT"/>
    <s v="Done"/>
    <s v="U3400 R6.4 - NIC3 - HCM -  Ping IHD via ESI"/>
    <m/>
  </r>
  <r>
    <n v="101"/>
    <s v="L&amp;G 82-R64"/>
    <x v="1"/>
    <s v="016 - HAN"/>
    <x v="65"/>
    <s v="2-High"/>
    <s v=" "/>
    <d v="2024-09-24T00:00:00"/>
    <d v="1899-12-30T17:16:02"/>
    <s v="RBT"/>
    <s v="RBT"/>
    <s v="mkalra(Manoj Kalra)"/>
    <s v="mkalra(Manoj Kalra)"/>
    <s v="RBT"/>
    <s v="Done"/>
    <s v="U3400 R6.4 - NIC3 - HCM -  Unjoin IHD to ESI"/>
    <m/>
  </r>
  <r>
    <n v="102"/>
    <s v="L&amp;G 82-R64"/>
    <x v="1"/>
    <s v="016 - HAN"/>
    <x v="66"/>
    <s v="3-Medium"/>
    <s v=" "/>
    <d v="2024-09-24T00:00:00"/>
    <d v="1899-12-30T17:15:58"/>
    <s v="RBT"/>
    <s v="RBT"/>
    <s v="mkalra(Manoj Kalra)"/>
    <s v="mkalra(Manoj Kalra)"/>
    <s v="RBT"/>
    <s v="Done"/>
    <s v="U3400 R6.4 - NIC3 - HCM -  HAN secure key establishment"/>
    <m/>
  </r>
  <r>
    <n v="103"/>
    <s v="L&amp;G 82-R64"/>
    <x v="1"/>
    <s v="016 - HAN"/>
    <x v="67"/>
    <s v="3-Medium"/>
    <s v=" "/>
    <d v="2024-09-24T00:00:00"/>
    <d v="1899-12-30T17:15:57"/>
    <s v="RBT"/>
    <s v="RBT"/>
    <s v="mkalra(Manoj Kalra)"/>
    <s v="mkalra(Manoj Kalra)"/>
    <s v="RBT"/>
    <s v="Done"/>
    <s v="U3400 R6.4 - NIC3 - HCM -  Enroll ESI to HCM program"/>
    <m/>
  </r>
  <r>
    <n v="105"/>
    <s v="L&amp;G 82-R64"/>
    <x v="1"/>
    <s v="016 - HAN"/>
    <x v="68"/>
    <s v="2-High"/>
    <s v=" "/>
    <d v="2024-09-24T00:00:00"/>
    <d v="1899-12-30T17:16:08"/>
    <s v="RBT"/>
    <s v="RBT"/>
    <s v="mkalra(Manoj Kalra)"/>
    <s v="mkalra(Manoj Kalra)"/>
    <s v="RBT"/>
    <s v="Done"/>
    <s v="U3400 R6.4 - NIC3 - NC -  HAN radio diagnostic commands"/>
    <m/>
  </r>
  <r>
    <n v="93"/>
    <s v="L&amp;G 82-R64"/>
    <x v="0"/>
    <s v="016 - HAN"/>
    <x v="58"/>
    <s v="2-High"/>
    <s v=" "/>
    <d v="2024-09-24T00:00:00"/>
    <d v="1899-12-30T17:17:06"/>
    <s v="RBT"/>
    <s v="RBT"/>
    <s v="mkalra(Manoj Kalra)"/>
    <s v="mkalra(Manoj Kalra)"/>
    <s v="RBT"/>
    <s v="Done"/>
    <s v="U3400 R6.4 - NIC5 - HCM - Import IHD"/>
    <m/>
  </r>
  <r>
    <n v="94"/>
    <s v="L&amp;G 82-R64"/>
    <x v="0"/>
    <s v="016 - HAN"/>
    <x v="59"/>
    <s v="2-High"/>
    <s v=" "/>
    <d v="2024-09-24T00:00:00"/>
    <d v="1899-12-30T17:17:08"/>
    <s v="RBT"/>
    <s v="RBT"/>
    <s v="mkalra(Manoj Kalra)"/>
    <s v="mkalra(Manoj Kalra)"/>
    <s v="RBT"/>
    <s v="Done"/>
    <s v="U3400 R6.4 - NIC5 - HCM - Import ESI"/>
    <m/>
  </r>
  <r>
    <n v="95"/>
    <s v="L&amp;G 82-R64"/>
    <x v="0"/>
    <s v="016 - HAN"/>
    <x v="60"/>
    <s v="2-High"/>
    <s v=" "/>
    <d v="2024-09-24T00:00:00"/>
    <d v="1899-12-30T17:17:04"/>
    <s v="RBT"/>
    <s v="RBT"/>
    <s v="mkalra(Manoj Kalra)"/>
    <s v="mkalra(Manoj Kalra)"/>
    <s v="RBT"/>
    <s v="Done"/>
    <s v="U3400 R6.4 - NIC5 - HCM - Sync ESI"/>
    <m/>
  </r>
  <r>
    <n v="96"/>
    <s v="L&amp;G 82-R64"/>
    <x v="0"/>
    <s v="016 - HAN"/>
    <x v="61"/>
    <s v="2-High"/>
    <s v=" "/>
    <d v="2024-09-24T00:00:00"/>
    <d v="1899-12-30T17:17:05"/>
    <s v="RBT"/>
    <s v="RBT"/>
    <s v="mkalra(Manoj Kalra)"/>
    <s v="mkalra(Manoj Kalra)"/>
    <s v="RBT"/>
    <s v="Done"/>
    <s v="U3400 R6.4 - NIC5 - HCM - Provision ESI"/>
    <m/>
  </r>
  <r>
    <n v="97"/>
    <s v="L&amp;G 82-R64"/>
    <x v="0"/>
    <s v="016 - HAN"/>
    <x v="62"/>
    <s v="2-High"/>
    <s v=" "/>
    <d v="2024-09-24T00:00:00"/>
    <d v="1899-12-30T17:17:16"/>
    <s v="RBT"/>
    <s v="RBT"/>
    <s v="mkalra(Manoj Kalra)"/>
    <s v="mkalra(Manoj Kalra)"/>
    <s v="RBT"/>
    <s v="Done"/>
    <s v="U3400 R6.4 - NIC5 - HCM -  Associate IHD to ESI"/>
    <m/>
  </r>
  <r>
    <n v="98"/>
    <s v="L&amp;G 82-R64"/>
    <x v="0"/>
    <s v="016 - HAN"/>
    <x v="63"/>
    <s v="2-High"/>
    <s v=" "/>
    <d v="2024-09-24T00:00:00"/>
    <d v="1899-12-30T17:17:12"/>
    <s v="RBT"/>
    <s v="RBT"/>
    <s v="mkalra(Manoj Kalra)"/>
    <s v="mkalra(Manoj Kalra)"/>
    <s v="RBT"/>
    <s v="Done"/>
    <s v="U3400 R6.4 - NIC5 - HCM -  Join IHD to ESI"/>
    <m/>
  </r>
  <r>
    <n v="99"/>
    <s v="L&amp;G 82-R64"/>
    <x v="0"/>
    <s v="016 - HAN"/>
    <x v="64"/>
    <s v="2-High"/>
    <s v=" "/>
    <d v="2024-09-24T00:00:00"/>
    <d v="1899-12-30T17:17:10"/>
    <s v="RBT"/>
    <s v="RBT"/>
    <s v="mkalra(Manoj Kalra)"/>
    <s v="mkalra(Manoj Kalra)"/>
    <s v="RBT"/>
    <s v="Done"/>
    <s v="U3400 R6.4 - NIC5 - HCM -  Ping IHD via ESI"/>
    <m/>
  </r>
  <r>
    <n v="101"/>
    <s v="L&amp;G 82-R64"/>
    <x v="0"/>
    <s v="016 - HAN"/>
    <x v="65"/>
    <s v="2-High"/>
    <s v=" "/>
    <d v="2024-09-24T00:00:00"/>
    <d v="1899-12-30T17:17:09"/>
    <s v="RBT"/>
    <s v="RBT"/>
    <s v="mkalra(Manoj Kalra)"/>
    <s v="mkalra(Manoj Kalra)"/>
    <s v="RBT"/>
    <s v="Done"/>
    <s v="U3400 R6.4 - NIC5 - HCM -  Unjoin IHD to ESI"/>
    <m/>
  </r>
  <r>
    <n v="102"/>
    <s v="L&amp;G 82-R64"/>
    <x v="0"/>
    <s v="016 - HAN"/>
    <x v="66"/>
    <s v="3-Medium"/>
    <s v=" "/>
    <d v="2024-09-24T00:00:00"/>
    <d v="1899-12-30T17:17:13"/>
    <s v="RBT"/>
    <s v="RBT"/>
    <s v="mkalra(Manoj Kalra)"/>
    <s v="mkalra(Manoj Kalra)"/>
    <s v="RBT"/>
    <s v="Done"/>
    <s v="U3400 R6.4 - NIC5 - HCM -  HAN secure key establishment"/>
    <m/>
  </r>
  <r>
    <n v="103"/>
    <s v="L&amp;G 82-R64"/>
    <x v="0"/>
    <s v="016 - HAN"/>
    <x v="67"/>
    <s v="3-Medium"/>
    <s v=" "/>
    <d v="2024-09-24T00:00:00"/>
    <d v="1899-12-30T17:17:14"/>
    <s v="RBT"/>
    <s v="RBT"/>
    <s v="mkalra(Manoj Kalra)"/>
    <s v="mkalra(Manoj Kalra)"/>
    <s v="RBT"/>
    <s v="Done"/>
    <s v="U3400 R6.4 - NIC5 - HCM -  Enroll ESI to HCM program"/>
    <m/>
  </r>
  <r>
    <n v="105"/>
    <s v="L&amp;G 82-R64"/>
    <x v="0"/>
    <s v="016 - HAN"/>
    <x v="68"/>
    <s v="2-High"/>
    <s v=" "/>
    <d v="2024-09-24T00:00:00"/>
    <d v="1899-12-30T17:17:02"/>
    <s v="RBT"/>
    <s v="RBT"/>
    <s v="mkalra(Manoj Kalra)"/>
    <s v="mkalra(Manoj Kalra)"/>
    <s v="RBT"/>
    <s v="Done"/>
    <s v="U3400 R6.4 - NIC5 - NC -  HAN radio diagnostic commands"/>
    <m/>
  </r>
  <r>
    <n v="83"/>
    <s v="L&amp;G 82-R64"/>
    <x v="1"/>
    <s v="017 - Supply Capacity Control"/>
    <x v="69"/>
    <s v="1-Critical"/>
    <s v=" "/>
    <d v="2024-10-04T00:00:00"/>
    <d v="1899-12-30T10:51:25"/>
    <s v="Passed"/>
    <s v="Passed"/>
    <s v="mkalra(Manoj Kalra)"/>
    <s v="mkalra(Manoj Kalra)"/>
    <s v="Executed"/>
    <s v="Done"/>
    <s v="U3400 R6.4 - NIC3 - ESCC Normal Operation - Active Meters"/>
    <m/>
  </r>
  <r>
    <n v="1695"/>
    <s v="L&amp;G 82-R64"/>
    <x v="1"/>
    <s v="017 - Supply Capacity Control"/>
    <x v="70"/>
    <s v="1-Critical"/>
    <s v=" "/>
    <d v="2024-10-07T00:00:00"/>
    <d v="1899-12-30T17:53:57"/>
    <s v="Passed"/>
    <s v="Passed"/>
    <s v="mkalra(Manoj Kalra)"/>
    <s v="mkalra(Manoj Kalra)"/>
    <s v="Executed"/>
    <s v="Done"/>
    <s v="U3400 R6.4 - NIC3 - ESCC Operation on Export"/>
    <m/>
  </r>
  <r>
    <n v="83"/>
    <s v="L&amp;G 82-R64"/>
    <x v="3"/>
    <s v="017 - Supply Capacity Control"/>
    <x v="69"/>
    <s v="1-Critical"/>
    <s v=" "/>
    <d v="2024-10-08T00:00:00"/>
    <d v="1899-12-30T16:18:21"/>
    <s v="Passed"/>
    <s v="Passed"/>
    <s v="knjuguna(Kamau Njuguna)"/>
    <s v="knjuguna(Kamau Njuguna)"/>
    <s v="Executed"/>
    <s v="Done"/>
    <s v="U1300 R6.4 - NIC3 - ESCC Normal Operation - Active Meters"/>
    <m/>
  </r>
  <r>
    <n v="1695"/>
    <s v="L&amp;G 82-R64"/>
    <x v="3"/>
    <s v="017 - Supply Capacity Control"/>
    <x v="70"/>
    <s v="1-Critical"/>
    <s v=" "/>
    <d v="2024-10-08T00:00:00"/>
    <d v="1899-12-30T16:41:40"/>
    <s v="Passed"/>
    <s v="Passed"/>
    <s v="knjuguna(Kamau Njuguna)"/>
    <s v="knjuguna(Kamau Njuguna)"/>
    <s v="Executed"/>
    <s v="Done"/>
    <s v="U1300 R6.4 - NIC3 - ESCC Operation on Export"/>
    <m/>
  </r>
  <r>
    <n v="83"/>
    <s v="L&amp;G 82-R64"/>
    <x v="0"/>
    <s v="017 - Supply Capacity Control"/>
    <x v="69"/>
    <s v="1-Critical"/>
    <s v=" "/>
    <d v="2024-10-04T00:00:00"/>
    <d v="1899-12-30T10:51:23"/>
    <s v="Passed"/>
    <s v="Passed"/>
    <s v="mkalra(Manoj Kalra)"/>
    <s v="mkalra(Manoj Kalra)"/>
    <s v="Executed"/>
    <s v="Done"/>
    <s v="U3400 R6.4 - NIC5 - ESCC Normal Operation - Active Meters"/>
    <m/>
  </r>
  <r>
    <n v="1695"/>
    <s v="L&amp;G 82-R64"/>
    <x v="0"/>
    <s v="017 - Supply Capacity Control"/>
    <x v="70"/>
    <s v="1-Critical"/>
    <s v=" "/>
    <d v="2024-10-07T00:00:00"/>
    <d v="1899-12-30T17:53:53"/>
    <s v="Passed"/>
    <s v="Passed"/>
    <s v="mkalra(Manoj Kalra)"/>
    <s v="mkalra(Manoj Kalra)"/>
    <s v="Executed"/>
    <s v="Done"/>
    <s v="U3400 R6.4 - NIC5 - ESCC Operation on Export"/>
    <m/>
  </r>
  <r>
    <n v="83"/>
    <s v="L&amp;G 82-R64"/>
    <x v="2"/>
    <s v="017 - Supply Capacity Control"/>
    <x v="69"/>
    <s v="1-Critical"/>
    <s v=" "/>
    <d v="2024-10-08T00:00:00"/>
    <d v="1899-12-30T16:19:14"/>
    <s v="Passed"/>
    <s v="Passed"/>
    <s v="knjuguna(Kamau Njuguna)"/>
    <s v="knjuguna(Kamau Njuguna)"/>
    <s v="Executed"/>
    <s v="Done"/>
    <s v="U1300 R6.4 - NIC5 - ESCC Normal Operation - Active Meters"/>
    <m/>
  </r>
  <r>
    <n v="1695"/>
    <s v="L&amp;G 82-R64"/>
    <x v="2"/>
    <s v="017 - Supply Capacity Control"/>
    <x v="70"/>
    <s v="1-Critical"/>
    <s v=" "/>
    <d v="2024-10-08T00:00:00"/>
    <d v="1899-12-30T16:42:22"/>
    <s v="Passed"/>
    <s v="Passed"/>
    <s v="knjuguna(Kamau Njuguna)"/>
    <s v="knjuguna(Kamau Njuguna)"/>
    <s v="Executed"/>
    <s v="Done"/>
    <s v="U1300 R6.4 - NIC5 - ESCC Operation on Export"/>
    <m/>
  </r>
  <r>
    <n v="84"/>
    <s v="L&amp;G 82-R64"/>
    <x v="0"/>
    <s v="018 - Security"/>
    <x v="71"/>
    <s v="1-Critical"/>
    <s v=" "/>
    <d v="2024-10-10T00:00:00"/>
    <d v="1899-12-30T12:32:51"/>
    <s v="Passed"/>
    <s v="Passed"/>
    <s v="mkalra(Manoj Kalra)"/>
    <s v="mkalra(Manoj Kalra)"/>
    <s v="Executed"/>
    <s v="Done"/>
    <s v="U3400 R6.4 - NIC5 - Meter tamper - terminal cover"/>
    <m/>
  </r>
  <r>
    <n v="84"/>
    <s v="L&amp;G 82-R64"/>
    <x v="1"/>
    <s v="018 - Security"/>
    <x v="71"/>
    <s v="1-Critical"/>
    <s v=" "/>
    <d v="2024-10-10T00:00:00"/>
    <d v="1899-12-30T12:32:00"/>
    <s v="Passed"/>
    <s v="Passed"/>
    <s v="mkalra(Manoj Kalra)"/>
    <s v="mkalra(Manoj Kalra)"/>
    <s v="Executed"/>
    <s v="Done"/>
    <s v="U3400 R6.4 - NIC3 - Meter tamper - terminal cover"/>
    <m/>
  </r>
  <r>
    <n v="84"/>
    <s v="L&amp;G 82-R64"/>
    <x v="2"/>
    <s v="018 - Security"/>
    <x v="71"/>
    <s v="1-Critical"/>
    <s v=" "/>
    <d v="2024-10-07T00:00:00"/>
    <d v="1899-12-30T16:31:35"/>
    <s v="Passed"/>
    <s v="Passed"/>
    <s v="knjuguna(Kamau Njuguna)"/>
    <s v="knjuguna(Kamau Njuguna)"/>
    <s v="Executed"/>
    <s v="Done"/>
    <s v="U1300 R6.4 - NIC5 - Meter tamper - terminal cover"/>
    <m/>
  </r>
  <r>
    <n v="84"/>
    <s v="L&amp;G 82-R64"/>
    <x v="3"/>
    <s v="018 - Security"/>
    <x v="71"/>
    <s v="1-Critical"/>
    <s v=" "/>
    <d v="2024-10-07T00:00:00"/>
    <d v="1899-12-30T16:30:27"/>
    <s v="Passed"/>
    <s v="Passed"/>
    <s v="knjuguna(Kamau Njuguna)"/>
    <s v="knjuguna(Kamau Njuguna)"/>
    <s v="Executed"/>
    <s v="Done"/>
    <s v="U1300 R6.4 - NIC3 - Meter tamper - terminal cover"/>
    <m/>
  </r>
  <r>
    <n v="1793"/>
    <s v="L&amp;G 82-R64"/>
    <x v="1"/>
    <s v="020 - Broadcast"/>
    <x v="72"/>
    <s v="2-High"/>
    <s v=" "/>
    <d v="2024-10-04T00:00:00"/>
    <d v="1899-12-30T15:03:09"/>
    <s v="Passed"/>
    <s v="Passed"/>
    <s v="mkalra(Manoj Kalra)"/>
    <s v="mkalra(Manoj Kalra)"/>
    <s v="Executed"/>
    <s v="Done"/>
    <s v="U3400 R6.4 - NIC3 - Broadcast - Load contactor connect via broadcast (immediate, no randomisation)"/>
    <m/>
  </r>
  <r>
    <n v="1794"/>
    <s v="L&amp;G 82-R64"/>
    <x v="1"/>
    <s v="020 - Broadcast"/>
    <x v="73"/>
    <s v="2-High"/>
    <s v=" "/>
    <d v="2024-10-04T00:00:00"/>
    <d v="1899-12-30T15:29:15"/>
    <s v="Failed"/>
    <s v="Failed"/>
    <s v="mkalra(Manoj Kalra)"/>
    <s v="mkalra(Manoj Kalra)"/>
    <s v="Executed"/>
    <s v="Done"/>
    <s v="U3400 R6.4 - NIC3 - Broadcast - Load contactor connect via broadcast (immediate, randomisation)"/>
    <m/>
  </r>
  <r>
    <n v="1795"/>
    <s v="L&amp;G 82-R64"/>
    <x v="1"/>
    <s v="020 - Broadcast"/>
    <x v="74"/>
    <s v="2-High"/>
    <s v=" "/>
    <d v="2024-10-04T00:00:00"/>
    <d v="1899-12-30T15:49:20"/>
    <s v="Passed"/>
    <s v="Passed"/>
    <s v="mkalra(Manoj Kalra)"/>
    <s v="mkalra(Manoj Kalra)"/>
    <s v="Executed"/>
    <s v="Done"/>
    <s v="U3400 R6.4 - NIC3 - Broadcast - Load contactor connect via broadcast (scheduled, no randomisation)"/>
    <m/>
  </r>
  <r>
    <n v="1796"/>
    <s v="L&amp;G 82-R64"/>
    <x v="1"/>
    <s v="020 - Broadcast"/>
    <x v="75"/>
    <s v="2-High"/>
    <s v=" "/>
    <d v="2024-10-07T00:00:00"/>
    <d v="1899-12-30T10:52:12"/>
    <s v="Passed"/>
    <s v="Passed"/>
    <s v="mkalra(Manoj Kalra)"/>
    <s v="mkalra(Manoj Kalra)"/>
    <s v="Executed"/>
    <s v="Done"/>
    <s v="U3400 R6.4 - NIC3 - Broadcast - Load contactor disconnect via broadcast (immediate, no randomisation)"/>
    <m/>
  </r>
  <r>
    <n v="1797"/>
    <s v="L&amp;G 82-R64"/>
    <x v="1"/>
    <s v="020 - Broadcast"/>
    <x v="76"/>
    <s v="2-High"/>
    <s v=" "/>
    <d v="2024-10-07T00:00:00"/>
    <d v="1899-12-30T11:15:15"/>
    <s v="Failed"/>
    <s v="Failed"/>
    <s v="mkalra(Manoj Kalra)"/>
    <s v="mkalra(Manoj Kalra)"/>
    <s v="Executed"/>
    <s v="Done"/>
    <s v="U3400 R6.4 - NIC3 - Broadcast - Load contactor disconnect via broadcast (immediate, randomisation)"/>
    <m/>
  </r>
  <r>
    <n v="1798"/>
    <s v="L&amp;G 82-R64"/>
    <x v="1"/>
    <s v="020 - Broadcast"/>
    <x v="77"/>
    <s v="2-High"/>
    <s v=" "/>
    <d v="2024-10-07T00:00:00"/>
    <d v="1899-12-30T11:42:24"/>
    <s v="Passed"/>
    <s v="Passed"/>
    <s v="mkalra(Manoj Kalra)"/>
    <s v="mkalra(Manoj Kalra)"/>
    <s v="Executed"/>
    <s v="Done"/>
    <s v="U3400 R6.4 - NIC3 - Broadcast - Load contactor disconnect via broadcast (scheduled, no randomisation)"/>
    <m/>
  </r>
  <r>
    <n v="129"/>
    <s v="L&amp;G 82-R64"/>
    <x v="1"/>
    <s v="020 - Broadcast"/>
    <x v="78"/>
    <s v="2-High"/>
    <s v=" "/>
    <d v="2024-09-25T00:00:00"/>
    <d v="1899-12-30T11:58:42"/>
    <s v="Passed"/>
    <s v="Passed"/>
    <s v="mkalra(Manoj Kalra)"/>
    <s v="mkalra(Manoj Kalra)"/>
    <s v="Executed"/>
    <s v="Done"/>
    <s v="U3400 R6.4 - NIC3 - Broadcast 01 - Broadcast Groups - UIQ to meter"/>
    <m/>
  </r>
  <r>
    <n v="130"/>
    <s v="L&amp;G 82-R64"/>
    <x v="1"/>
    <s v="020 - Broadcast"/>
    <x v="79"/>
    <s v="2-High"/>
    <s v=" "/>
    <d v="2024-09-25T00:00:00"/>
    <d v="1899-12-30T13:33:24"/>
    <s v="Passed"/>
    <s v="Passed"/>
    <s v="mkalra(Manoj Kalra)"/>
    <s v="mkalra(Manoj Kalra)"/>
    <s v="Executed"/>
    <s v="Done"/>
    <s v="U3400 R6.4 - NIC3 - Broadcast 02 - Broadcast Groups - meter to UIQ"/>
    <m/>
  </r>
  <r>
    <n v="137"/>
    <s v="L&amp;G 82-R64"/>
    <x v="1"/>
    <s v="020 - Broadcast"/>
    <x v="80"/>
    <s v="2-High"/>
    <s v=" "/>
    <d v="2024-10-04T00:00:00"/>
    <d v="1899-12-30T13:03:58"/>
    <s v="Passed"/>
    <s v="Passed"/>
    <s v="mkalra(Manoj Kalra)"/>
    <s v="mkalra(Manoj Kalra)"/>
    <s v="Executed"/>
    <s v="Done"/>
    <s v="U3400 R6.4 - NIC3 - Broadcast 08 - ESCC opeation via broadcast"/>
    <m/>
  </r>
  <r>
    <n v="136"/>
    <s v="L&amp;G 82-R64"/>
    <x v="1"/>
    <s v="020 - Broadcast"/>
    <x v="81"/>
    <s v="2-High"/>
    <s v=" "/>
    <d v="2024-10-04T00:00:00"/>
    <d v="1899-12-30T14:28:22"/>
    <s v="Passed"/>
    <s v="Passed"/>
    <s v="mkalra(Manoj Kalra)"/>
    <s v="mkalra(Manoj Kalra)"/>
    <s v="Executed"/>
    <s v="Done"/>
    <s v="U3400 R6.4 - NIC3 - Broadcast 09 - Load contactor opeation via broadcast"/>
    <m/>
  </r>
  <r>
    <n v="1793"/>
    <s v="L&amp;G 82-R64"/>
    <x v="3"/>
    <s v="020 - Broadcast"/>
    <x v="72"/>
    <s v="2-High"/>
    <s v=" "/>
    <d v="2024-09-26T00:00:00"/>
    <d v="1899-12-30T12:11:29"/>
    <s v="Passed"/>
    <s v="Passed"/>
    <s v="knjuguna(Kamau Njuguna)"/>
    <s v="knjuguna(Kamau Njuguna)"/>
    <s v="Executed"/>
    <s v="Done"/>
    <s v="U1300 R6.4 - NIC3 - Broadcast - Load contactor connect via broadcast (immediate, no randomisation)"/>
    <m/>
  </r>
  <r>
    <n v="1794"/>
    <s v="L&amp;G 82-R64"/>
    <x v="3"/>
    <s v="020 - Broadcast"/>
    <x v="73"/>
    <s v="2-High"/>
    <s v=" "/>
    <d v="2024-09-26T00:00:00"/>
    <d v="1899-12-30T13:10:39"/>
    <s v="Failed"/>
    <s v="Failed"/>
    <s v="knjuguna(Kamau Njuguna)"/>
    <s v="knjuguna(Kamau Njuguna)"/>
    <s v="Executed"/>
    <s v="Done"/>
    <s v="U1300 R6.4 - NIC3 - Broadcast - Load contactor connect via broadcast (immediate, randomisation)"/>
    <m/>
  </r>
  <r>
    <n v="1795"/>
    <s v="L&amp;G 82-R64"/>
    <x v="3"/>
    <s v="020 - Broadcast"/>
    <x v="74"/>
    <s v="2-High"/>
    <s v=" "/>
    <d v="2024-09-26T00:00:00"/>
    <d v="1899-12-30T14:11:05"/>
    <s v="Passed"/>
    <s v="Passed"/>
    <s v="knjuguna(Kamau Njuguna)"/>
    <s v="knjuguna(Kamau Njuguna)"/>
    <s v="Executed"/>
    <s v="Done"/>
    <s v="U1300 R6.4 - NIC3 - Broadcast - Load contactor connect via broadcast (scheduled, no randomisation)"/>
    <m/>
  </r>
  <r>
    <n v="1796"/>
    <s v="L&amp;G 82-R64"/>
    <x v="3"/>
    <s v="020 - Broadcast"/>
    <x v="75"/>
    <s v="2-High"/>
    <s v=" "/>
    <d v="2024-09-30T00:00:00"/>
    <d v="1899-12-30T09:42:19"/>
    <s v="Passed"/>
    <s v="Passed"/>
    <s v="knjuguna(Kamau Njuguna)"/>
    <s v="knjuguna(Kamau Njuguna)"/>
    <s v="Executed"/>
    <s v="Done"/>
    <s v="U1300 R6.4 - NIC3 - Broadcast - Load contactor disconnect via broadcast (immediate, no randomisation)"/>
    <m/>
  </r>
  <r>
    <n v="1797"/>
    <s v="L&amp;G 82-R64"/>
    <x v="3"/>
    <s v="020 - Broadcast"/>
    <x v="76"/>
    <s v="2-High"/>
    <s v=" "/>
    <d v="2024-09-30T00:00:00"/>
    <d v="1899-12-30T10:12:29"/>
    <s v="Failed"/>
    <s v="Failed"/>
    <s v="knjuguna(Kamau Njuguna)"/>
    <s v="knjuguna(Kamau Njuguna)"/>
    <s v="Executed"/>
    <s v="Done"/>
    <s v="U1300 R6.4 - NIC3 - Broadcast - Load contactor disconnect via broadcast (immediate, randomisation)"/>
    <m/>
  </r>
  <r>
    <n v="1798"/>
    <s v="L&amp;G 82-R64"/>
    <x v="3"/>
    <s v="020 - Broadcast"/>
    <x v="77"/>
    <s v="2-High"/>
    <s v=" "/>
    <d v="2024-09-30T00:00:00"/>
    <d v="1899-12-30T10:43:50"/>
    <s v="Passed"/>
    <s v="Passed"/>
    <s v="knjuguna(Kamau Njuguna)"/>
    <s v="knjuguna(Kamau Njuguna)"/>
    <s v="Executed"/>
    <s v="Done"/>
    <s v="U1300 R6.4 - NIC3 - Broadcast - Load contactor disconnect via broadcast (scheduled, no randomisation)"/>
    <m/>
  </r>
  <r>
    <n v="129"/>
    <s v="L&amp;G 82-R64"/>
    <x v="3"/>
    <s v="020 - Broadcast"/>
    <x v="78"/>
    <s v="2-High"/>
    <s v=" "/>
    <d v="2024-09-20T00:00:00"/>
    <d v="1899-12-30T16:50:31"/>
    <s v="Passed"/>
    <s v="Passed"/>
    <s v="knjuguna(Kamau Njuguna)"/>
    <s v="knjuguna(Kamau Njuguna)"/>
    <s v="Executed"/>
    <s v="Done"/>
    <s v="U1300 R6.4 - NIC3 - Broadcast 01 - Broadcast Groups - UIQ to meter"/>
    <m/>
  </r>
  <r>
    <n v="130"/>
    <s v="L&amp;G 82-R64"/>
    <x v="3"/>
    <s v="020 - Broadcast"/>
    <x v="79"/>
    <s v="2-High"/>
    <s v=" "/>
    <d v="2024-09-26T00:00:00"/>
    <d v="1899-12-30T11:03:17"/>
    <s v="Passed"/>
    <s v="Passed"/>
    <s v="knjuguna(Kamau Njuguna)"/>
    <s v="knjuguna(Kamau Njuguna)"/>
    <s v="Executed"/>
    <s v="Done"/>
    <s v="U1300 R6.4 - NIC3 - Broadcast 02 - Broadcast Groups - meter to UIQ"/>
    <m/>
  </r>
  <r>
    <n v="137"/>
    <s v="L&amp;G 82-R64"/>
    <x v="3"/>
    <s v="020 - Broadcast"/>
    <x v="80"/>
    <s v="2-High"/>
    <s v=" "/>
    <d v="2024-09-30T00:00:00"/>
    <d v="1899-12-30T12:02:11"/>
    <s v="Passed"/>
    <s v="Passed"/>
    <s v="knjuguna(Kamau Njuguna)"/>
    <s v="knjuguna(Kamau Njuguna)"/>
    <s v="Executed"/>
    <s v="Done"/>
    <s v="U1300 R6.4 - NIC3 - Broadcast 08 - ESCC opeation via broadcast"/>
    <m/>
  </r>
  <r>
    <n v="136"/>
    <s v="L&amp;G 82-R64"/>
    <x v="3"/>
    <s v="020 - Broadcast"/>
    <x v="81"/>
    <s v="2-High"/>
    <s v=" "/>
    <d v="2024-09-30T00:00:00"/>
    <d v="1899-12-30T17:12:41"/>
    <s v="Passed"/>
    <s v="Passed"/>
    <s v="knjuguna(Kamau Njuguna)"/>
    <s v="knjuguna(Kamau Njuguna)"/>
    <s v="Executed"/>
    <s v="Done"/>
    <s v="U1300 R6.4 - NIC3 - Broadcast 09 - Load contactor opeation via broadcast"/>
    <m/>
  </r>
  <r>
    <n v="1793"/>
    <s v="L&amp;G 82-R64"/>
    <x v="0"/>
    <s v="020 - Broadcast"/>
    <x v="72"/>
    <s v="2-High"/>
    <s v=" "/>
    <d v="2024-10-04T00:00:00"/>
    <d v="1899-12-30T15:03:52"/>
    <s v="Passed"/>
    <s v="Passed"/>
    <s v="mkalra(Manoj Kalra)"/>
    <s v="mkalra(Manoj Kalra)"/>
    <s v="Executed"/>
    <s v="Done"/>
    <s v="U3400 R6.4 - NIC5 - Broadcast - Load contactor connect via broadcast (immediate, no randomisation)"/>
    <m/>
  </r>
  <r>
    <n v="1794"/>
    <s v="L&amp;G 82-R64"/>
    <x v="0"/>
    <s v="020 - Broadcast"/>
    <x v="73"/>
    <s v="2-High"/>
    <s v=" "/>
    <d v="2024-10-04T00:00:00"/>
    <d v="1899-12-30T15:28:28"/>
    <s v="Failed"/>
    <s v="Failed"/>
    <s v="mkalra(Manoj Kalra)"/>
    <s v="mkalra(Manoj Kalra)"/>
    <s v="Executed"/>
    <s v="Done"/>
    <s v="U3400 R6.4 - NIC5 - Broadcast - Load contactor connect via broadcast (immediate, randomisation)"/>
    <m/>
  </r>
  <r>
    <n v="1795"/>
    <s v="L&amp;G 82-R64"/>
    <x v="0"/>
    <s v="020 - Broadcast"/>
    <x v="74"/>
    <s v="2-High"/>
    <s v=" "/>
    <d v="2024-10-04T00:00:00"/>
    <d v="1899-12-30T15:49:03"/>
    <s v="Passed"/>
    <s v="Passed"/>
    <s v="mkalra(Manoj Kalra)"/>
    <s v="mkalra(Manoj Kalra)"/>
    <s v="Executed"/>
    <s v="Done"/>
    <s v="U3400 R6.4 - NIC5 - Broadcast - Load contactor connect via broadcast (scheduled, no randomisation)"/>
    <m/>
  </r>
  <r>
    <n v="1796"/>
    <s v="L&amp;G 82-R64"/>
    <x v="0"/>
    <s v="020 - Broadcast"/>
    <x v="75"/>
    <s v="2-High"/>
    <s v=" "/>
    <d v="2024-10-07T00:00:00"/>
    <d v="1899-12-30T10:52:13"/>
    <s v="Passed"/>
    <s v="Passed"/>
    <s v="mkalra(Manoj Kalra)"/>
    <s v="mkalra(Manoj Kalra)"/>
    <s v="Executed"/>
    <s v="Done"/>
    <s v="U3400 R6.4 - NIC5 - Broadcast - Load contactor disconnect via broadcast (immediate, no randomisation)"/>
    <m/>
  </r>
  <r>
    <n v="1797"/>
    <s v="L&amp;G 82-R64"/>
    <x v="0"/>
    <s v="020 - Broadcast"/>
    <x v="76"/>
    <s v="2-High"/>
    <s v=" "/>
    <d v="2024-10-07T00:00:00"/>
    <d v="1899-12-30T11:15:12"/>
    <s v="Failed"/>
    <s v="Failed"/>
    <s v="mkalra(Manoj Kalra)"/>
    <s v="mkalra(Manoj Kalra)"/>
    <s v="Executed"/>
    <s v="Done"/>
    <s v="U3400 R6.4 - NIC5 - Broadcast - Load contactor disconnect via broadcast (immediate, randomisation)"/>
    <m/>
  </r>
  <r>
    <n v="1798"/>
    <s v="L&amp;G 82-R64"/>
    <x v="0"/>
    <s v="020 - Broadcast"/>
    <x v="77"/>
    <s v="2-High"/>
    <s v=" "/>
    <d v="2024-10-07T00:00:00"/>
    <d v="1899-12-30T11:42:26"/>
    <s v="Passed"/>
    <s v="Passed"/>
    <s v="mkalra(Manoj Kalra)"/>
    <s v="mkalra(Manoj Kalra)"/>
    <s v="Executed"/>
    <s v="Done"/>
    <s v="U3400 R6.4 - NIC5 - Broadcast - Load contactor disconnect via broadcast (scheduled, no randomisation)"/>
    <m/>
  </r>
  <r>
    <n v="129"/>
    <s v="L&amp;G 82-R64"/>
    <x v="0"/>
    <s v="020 - Broadcast"/>
    <x v="78"/>
    <s v="2-High"/>
    <s v=" "/>
    <d v="2024-09-25T00:00:00"/>
    <d v="1899-12-30T11:59:45"/>
    <s v="Passed"/>
    <s v="Passed"/>
    <s v="mkalra(Manoj Kalra)"/>
    <s v="mkalra(Manoj Kalra)"/>
    <s v="Executed"/>
    <s v="Done"/>
    <s v="U3400 R6.4 - NIC5 - Broadcast 01 - Broadcast Groups - UIQ to meter"/>
    <m/>
  </r>
  <r>
    <n v="130"/>
    <s v="L&amp;G 82-R64"/>
    <x v="0"/>
    <s v="020 - Broadcast"/>
    <x v="79"/>
    <s v="2-High"/>
    <s v=" "/>
    <d v="2024-09-25T00:00:00"/>
    <d v="1899-12-30T13:33:20"/>
    <s v="Passed"/>
    <s v="Passed"/>
    <s v="mkalra(Manoj Kalra)"/>
    <s v="mkalra(Manoj Kalra)"/>
    <s v="Executed"/>
    <s v="Done"/>
    <s v="U3400 R6.4 - NIC5 - Broadcast 02 - Broadcast Groups - meter to UIQ"/>
    <m/>
  </r>
  <r>
    <n v="137"/>
    <s v="L&amp;G 82-R64"/>
    <x v="0"/>
    <s v="020 - Broadcast"/>
    <x v="80"/>
    <s v="2-High"/>
    <s v=" "/>
    <d v="2024-10-04T00:00:00"/>
    <d v="1899-12-30T13:03:53"/>
    <s v="Passed"/>
    <s v="Passed"/>
    <s v="mkalra(Manoj Kalra)"/>
    <s v="mkalra(Manoj Kalra)"/>
    <s v="Executed"/>
    <s v="Done"/>
    <s v="U3400 R6.4 - NIC5 - Broadcast 08 - ESCC opeation via broadcast"/>
    <m/>
  </r>
  <r>
    <n v="136"/>
    <s v="L&amp;G 82-R64"/>
    <x v="0"/>
    <s v="020 - Broadcast"/>
    <x v="81"/>
    <s v="2-High"/>
    <s v=" "/>
    <d v="2024-10-04T00:00:00"/>
    <d v="1899-12-30T14:28:17"/>
    <s v="Passed"/>
    <s v="Passed"/>
    <s v="mkalra(Manoj Kalra)"/>
    <s v="mkalra(Manoj Kalra)"/>
    <s v="Executed"/>
    <s v="Done"/>
    <s v="U3400 R6.4 - NIC5 - Broadcast 09 - Load contactor opeation via broadcast"/>
    <m/>
  </r>
  <r>
    <n v="1793"/>
    <s v="L&amp;G 82-R64"/>
    <x v="2"/>
    <s v="020 - Broadcast"/>
    <x v="72"/>
    <s v="2-High"/>
    <s v=" "/>
    <d v="2024-09-26T00:00:00"/>
    <d v="1899-12-30T12:15:02"/>
    <s v="Passed"/>
    <s v="Passed"/>
    <s v="knjuguna(Kamau Njuguna)"/>
    <s v="knjuguna(Kamau Njuguna)"/>
    <s v="Executed"/>
    <s v="Done"/>
    <s v="U1300 R6.4 - NIC5 - Broadcast - Load contactor connect via broadcast (immediate, no randomisation)"/>
    <m/>
  </r>
  <r>
    <n v="1794"/>
    <s v="L&amp;G 82-R64"/>
    <x v="2"/>
    <s v="020 - Broadcast"/>
    <x v="73"/>
    <s v="2-High"/>
    <s v=" "/>
    <d v="2024-09-26T00:00:00"/>
    <d v="1899-12-30T13:10:13"/>
    <s v="Failed"/>
    <s v="Failed"/>
    <s v="knjuguna(Kamau Njuguna)"/>
    <s v="knjuguna(Kamau Njuguna)"/>
    <s v="Executed"/>
    <s v="Done"/>
    <s v="U1300 R6.4 - NIC5 - Broadcast - Load contactor connect via broadcast (immediate, randomisation)"/>
    <m/>
  </r>
  <r>
    <n v="1795"/>
    <s v="L&amp;G 82-R64"/>
    <x v="2"/>
    <s v="020 - Broadcast"/>
    <x v="74"/>
    <s v="2-High"/>
    <s v=" "/>
    <d v="2024-09-26T00:00:00"/>
    <d v="1899-12-30T14:13:31"/>
    <s v="Passed"/>
    <s v="Passed"/>
    <s v="knjuguna(Kamau Njuguna)"/>
    <s v="knjuguna(Kamau Njuguna)"/>
    <s v="Executed"/>
    <s v="Done"/>
    <s v="U1300 R6.4 - NIC5 - Broadcast - Load contactor connect via broadcast (scheduled, no randomisation)"/>
    <m/>
  </r>
  <r>
    <n v="1796"/>
    <s v="L&amp;G 82-R64"/>
    <x v="2"/>
    <s v="020 - Broadcast"/>
    <x v="75"/>
    <s v="2-High"/>
    <s v=" "/>
    <d v="2024-09-30T00:00:00"/>
    <d v="1899-12-30T09:43:16"/>
    <s v="Passed"/>
    <s v="Passed"/>
    <s v="knjuguna(Kamau Njuguna)"/>
    <s v="knjuguna(Kamau Njuguna)"/>
    <s v="Executed"/>
    <s v="Done"/>
    <s v="U1300 R6.4 - NIC5 - Broadcast - Load contactor disconnect via broadcast (immediate, no randomisation)"/>
    <m/>
  </r>
  <r>
    <n v="1797"/>
    <s v="L&amp;G 82-R64"/>
    <x v="2"/>
    <s v="020 - Broadcast"/>
    <x v="76"/>
    <s v="2-High"/>
    <s v=" "/>
    <d v="2024-10-16T00:00:00"/>
    <d v="1899-12-30T14:39:01"/>
    <s v="Failed"/>
    <s v="Failed"/>
    <s v="knjuguna(Kamau Njuguna)"/>
    <s v="knjuguna(Kamau Njuguna)"/>
    <s v="Executed"/>
    <s v="Done"/>
    <s v="U1300 R6.4 - NIC5 - Broadcast - Load contactor disconnect via broadcast (immediate, randomisation)"/>
    <m/>
  </r>
  <r>
    <n v="1798"/>
    <s v="L&amp;G 82-R64"/>
    <x v="2"/>
    <s v="020 - Broadcast"/>
    <x v="77"/>
    <s v="2-High"/>
    <s v=" "/>
    <d v="2024-09-30T00:00:00"/>
    <d v="1899-12-30T10:42:09"/>
    <s v="Passed"/>
    <s v="Passed"/>
    <s v="knjuguna(Kamau Njuguna)"/>
    <s v="knjuguna(Kamau Njuguna)"/>
    <s v="Executed"/>
    <s v="Done"/>
    <s v="U1300 R6.4 - NIC5 - Broadcast - Load contactor disconnect via broadcast (scheduled, no randomisation)"/>
    <m/>
  </r>
  <r>
    <n v="129"/>
    <s v="L&amp;G 82-R64"/>
    <x v="2"/>
    <s v="020 - Broadcast"/>
    <x v="78"/>
    <s v="2-High"/>
    <s v=" "/>
    <d v="2024-09-20T00:00:00"/>
    <d v="1899-12-30T16:37:23"/>
    <s v="Passed"/>
    <s v="Passed"/>
    <s v="knjuguna(Kamau Njuguna)"/>
    <s v="knjuguna(Kamau Njuguna)"/>
    <s v="Executed"/>
    <s v="Done"/>
    <s v="U1300 R6.4 - NIC5 - Broadcast 01 - Broadcast Groups - UIQ to meter"/>
    <m/>
  </r>
  <r>
    <n v="130"/>
    <s v="L&amp;G 82-R64"/>
    <x v="2"/>
    <s v="020 - Broadcast"/>
    <x v="79"/>
    <s v="2-High"/>
    <s v=" "/>
    <d v="2024-09-26T00:00:00"/>
    <d v="1899-12-30T11:02:34"/>
    <s v="Passed"/>
    <s v="Passed"/>
    <s v="knjuguna(Kamau Njuguna)"/>
    <s v="knjuguna(Kamau Njuguna)"/>
    <s v="Executed"/>
    <s v="Done"/>
    <s v="U1300 R6.4 - NIC5 - Broadcast 02 - Broadcast Groups - meter to UIQ"/>
    <m/>
  </r>
  <r>
    <n v="137"/>
    <s v="L&amp;G 82-R64"/>
    <x v="2"/>
    <s v="020 - Broadcast"/>
    <x v="80"/>
    <s v="2-High"/>
    <s v=" "/>
    <d v="2024-09-30T00:00:00"/>
    <d v="1899-12-30T12:02:57"/>
    <s v="Passed"/>
    <s v="Passed"/>
    <s v="knjuguna(Kamau Njuguna)"/>
    <s v="knjuguna(Kamau Njuguna)"/>
    <s v="Executed"/>
    <s v="Done"/>
    <s v="U1300 R6.4 - NIC5 - Broadcast 08 - ESCC opeation via broadcast"/>
    <m/>
  </r>
  <r>
    <n v="136"/>
    <s v="L&amp;G 82-R64"/>
    <x v="2"/>
    <s v="020 - Broadcast"/>
    <x v="81"/>
    <s v="2-High"/>
    <s v=" "/>
    <d v="2024-09-30T00:00:00"/>
    <d v="1899-12-30T17:12:32"/>
    <s v="Passed"/>
    <s v="Passed"/>
    <s v="knjuguna(Kamau Njuguna)"/>
    <s v="knjuguna(Kamau Njuguna)"/>
    <s v="Executed"/>
    <s v="Done"/>
    <s v="U1300 R6.4 - NIC5 - Broadcast 09 - Load contactor opeation via broadcast"/>
    <m/>
  </r>
  <r>
    <n v="132"/>
    <s v="L&amp;G 82-R64"/>
    <x v="3"/>
    <s v="020 - Broadcast"/>
    <x v="82"/>
    <s v="2-High"/>
    <s v=" "/>
    <d v="2024-10-08T00:00:00"/>
    <d v="1899-12-30T17:08:04"/>
    <s v="Passed"/>
    <s v="Passed"/>
    <s v="knjuguna(Kamau Njuguna)"/>
    <s v="knjuguna(Kamau Njuguna)"/>
    <s v="Executed"/>
    <s v="Done"/>
    <s v="U1300 R6.4 - NIC3 - Broadcast 04 - Confirm the range of broadcast groups"/>
    <m/>
  </r>
  <r>
    <n v="132"/>
    <s v="L&amp;G 82-R64"/>
    <x v="2"/>
    <s v="020 - Broadcast"/>
    <x v="82"/>
    <s v="2-High"/>
    <s v=" "/>
    <d v="2024-10-08T00:00:00"/>
    <d v="1899-12-30T17:07:54"/>
    <s v="Passed"/>
    <s v="Passed"/>
    <s v="knjuguna(Kamau Njuguna)"/>
    <s v="knjuguna(Kamau Njuguna)"/>
    <s v="Executed"/>
    <s v="Done"/>
    <s v="U1300 R6.4 - NIC5 - Broadcast 04 - Confirm the range of broadcast groups"/>
    <m/>
  </r>
  <r>
    <n v="132"/>
    <s v="L&amp;G 82-R64"/>
    <x v="1"/>
    <s v="020 - Broadcast"/>
    <x v="82"/>
    <s v="2-High"/>
    <s v=" "/>
    <d v="2024-09-25T00:00:00"/>
    <d v="1899-12-30T13:44:40"/>
    <s v="Passed"/>
    <s v="Passed"/>
    <s v="mkalra(Manoj Kalra)"/>
    <s v="mkalra(Manoj Kalra)"/>
    <s v="Executed"/>
    <s v="Done"/>
    <s v="U3400 R6.4 - NIC3 - Broadcast 04 - Confirm the range of broadcast groups"/>
    <m/>
  </r>
  <r>
    <n v="132"/>
    <s v="L&amp;G 82-R64"/>
    <x v="0"/>
    <s v="020 - Broadcast"/>
    <x v="82"/>
    <s v="2-High"/>
    <s v=" "/>
    <d v="2024-09-25T00:00:00"/>
    <d v="1899-12-30T13:44:37"/>
    <s v="Passed"/>
    <s v="Passed"/>
    <s v="mkalra(Manoj Kalra)"/>
    <s v="mkalra(Manoj Kalra)"/>
    <s v="Executed"/>
    <s v="Done"/>
    <s v="U3400 R6.4 - NIC5 - Broadcast 04 - Confirm the range of broadcast groups"/>
    <m/>
  </r>
  <r>
    <n v="133"/>
    <s v="L&amp;G 82-R64"/>
    <x v="0"/>
    <s v="020 - Broadcast"/>
    <x v="83"/>
    <s v="2-High"/>
    <s v=" "/>
    <d v="2024-09-24T00:00:00"/>
    <d v="1899-12-30T17:17:21"/>
    <s v="RBT"/>
    <s v="RBT"/>
    <s v="mkalra(Manoj Kalra)"/>
    <s v="mkalra(Manoj Kalra)"/>
    <s v="RBT"/>
    <s v="Done"/>
    <s v="U3400 R6.4 - NIC5 - Broadcast 05 - Broadcast cert upload via netmgr"/>
    <m/>
  </r>
  <r>
    <n v="134"/>
    <s v="L&amp;G 82-R64"/>
    <x v="0"/>
    <s v="020 - Broadcast"/>
    <x v="84"/>
    <s v="2-High"/>
    <s v=" "/>
    <d v="2024-09-24T00:00:00"/>
    <d v="1899-12-30T17:17:19"/>
    <s v="RBT"/>
    <s v="RBT"/>
    <s v="mkalra(Manoj Kalra)"/>
    <s v="mkalra(Manoj Kalra)"/>
    <s v="RBT"/>
    <s v="Done"/>
    <s v="U3400 R6.4 - NIC5 - Broadcast 07 - Broadcast cert upload via Network Centre"/>
    <m/>
  </r>
  <r>
    <n v="135"/>
    <s v="L&amp;G 82-R64"/>
    <x v="0"/>
    <s v="020 - Broadcast"/>
    <x v="85"/>
    <s v="2-High"/>
    <s v=" "/>
    <d v="2024-09-24T00:00:00"/>
    <d v="1899-12-30T17:17:26"/>
    <s v="RBT"/>
    <s v="RBT"/>
    <s v="mkalra(Manoj Kalra)"/>
    <s v="mkalra(Manoj Kalra)"/>
    <s v="RBT"/>
    <s v="Done"/>
    <s v="U3400 R6.4 - NIC5 - Broadcast 06 - Broadcast cert upload via FSU"/>
    <m/>
  </r>
  <r>
    <n v="133"/>
    <s v="L&amp;G 82-R64"/>
    <x v="1"/>
    <s v="020 - Broadcast"/>
    <x v="83"/>
    <s v="2-High"/>
    <s v=" "/>
    <d v="2024-09-24T00:00:00"/>
    <d v="1899-12-30T17:16:18"/>
    <s v="RBT"/>
    <s v="RBT"/>
    <s v="mkalra(Manoj Kalra)"/>
    <s v="mkalra(Manoj Kalra)"/>
    <s v="RBT"/>
    <s v="Done"/>
    <s v="U3400 R6.4 - NIC3 - Broadcast 05 - Broadcast cert upload via netmgr"/>
    <m/>
  </r>
  <r>
    <n v="134"/>
    <s v="L&amp;G 82-R64"/>
    <x v="1"/>
    <s v="020 - Broadcast"/>
    <x v="84"/>
    <s v="2-High"/>
    <s v=" "/>
    <d v="2024-09-24T00:00:00"/>
    <d v="1899-12-30T17:15:53"/>
    <s v="RBT"/>
    <s v="RBT"/>
    <s v="mkalra(Manoj Kalra)"/>
    <s v="mkalra(Manoj Kalra)"/>
    <s v="RBT"/>
    <s v="Done"/>
    <s v="U3400 R6.4 - NIC3 - Broadcast 07 - Broadcast cert upload via Network Centre"/>
    <m/>
  </r>
  <r>
    <n v="135"/>
    <s v="L&amp;G 82-R64"/>
    <x v="1"/>
    <s v="020 - Broadcast"/>
    <x v="85"/>
    <s v="2-High"/>
    <s v=" "/>
    <d v="2024-09-24T00:00:00"/>
    <d v="1899-12-30T17:15:51"/>
    <s v="RBT"/>
    <s v="RBT"/>
    <s v="mkalra(Manoj Kalra)"/>
    <s v="mkalra(Manoj Kalra)"/>
    <s v="RBT"/>
    <s v="Done"/>
    <s v="U3400 R6.4 - NIC3 - Broadcast 06 - Broadcast cert upload via FSU"/>
    <m/>
  </r>
  <r>
    <n v="133"/>
    <s v="L&amp;G 82-R64"/>
    <x v="2"/>
    <s v="020 - Broadcast"/>
    <x v="83"/>
    <s v="2-High"/>
    <s v=" "/>
    <d v="2024-09-24T00:00:00"/>
    <d v="1899-12-30T17:15:20"/>
    <s v="RBT"/>
    <s v="RBT"/>
    <s v="mkalra(Manoj Kalra)"/>
    <s v="knjuguna(Kamau Njuguna)"/>
    <s v="RBT"/>
    <s v="Done"/>
    <s v="U1300 R6.4 - NIC5 - Broadcast 05 - Broadcast cert upload via netmgr"/>
    <m/>
  </r>
  <r>
    <n v="134"/>
    <s v="L&amp;G 82-R64"/>
    <x v="2"/>
    <s v="020 - Broadcast"/>
    <x v="84"/>
    <s v="2-High"/>
    <s v=" "/>
    <d v="2024-09-24T00:00:00"/>
    <d v="1899-12-30T17:15:23"/>
    <s v="RBT"/>
    <s v="RBT"/>
    <s v="mkalra(Manoj Kalra)"/>
    <s v="knjuguna(Kamau Njuguna)"/>
    <s v="RBT"/>
    <s v="Done"/>
    <s v="U1300 R6.4 - NIC5 - Broadcast 07 - Broadcast cert upload via Network Centre"/>
    <m/>
  </r>
  <r>
    <n v="135"/>
    <s v="L&amp;G 82-R64"/>
    <x v="2"/>
    <s v="020 - Broadcast"/>
    <x v="85"/>
    <s v="2-High"/>
    <s v=" "/>
    <d v="2024-09-24T00:00:00"/>
    <d v="1899-12-30T17:15:29"/>
    <s v="RBT"/>
    <s v="RBT"/>
    <s v="mkalra(Manoj Kalra)"/>
    <s v="knjuguna(Kamau Njuguna)"/>
    <s v="RBT"/>
    <s v="Done"/>
    <s v="U1300 R6.4 - NIC5 - Broadcast 06 - Broadcast cert upload via FSU"/>
    <m/>
  </r>
  <r>
    <n v="133"/>
    <s v="L&amp;G 82-R64"/>
    <x v="3"/>
    <s v="020 - Broadcast"/>
    <x v="83"/>
    <s v="2-High"/>
    <s v=" "/>
    <d v="2024-09-24T00:00:00"/>
    <d v="1899-12-30T17:13:27"/>
    <s v="RBT"/>
    <s v="RBT"/>
    <s v="mkalra(Manoj Kalra)"/>
    <s v="knjuguna(Kamau Njuguna)"/>
    <s v="RBT"/>
    <s v="Done"/>
    <s v="U1300 R6.4 - NIC3 - Broadcast 05 - Broadcast cert upload via netmgr"/>
    <m/>
  </r>
  <r>
    <n v="134"/>
    <s v="L&amp;G 82-R64"/>
    <x v="3"/>
    <s v="020 - Broadcast"/>
    <x v="84"/>
    <s v="2-High"/>
    <s v=" "/>
    <d v="2024-09-24T00:00:00"/>
    <d v="1899-12-30T17:13:38"/>
    <s v="RBT"/>
    <s v="RBT"/>
    <s v="mkalra(Manoj Kalra)"/>
    <s v="knjuguna(Kamau Njuguna)"/>
    <s v="RBT"/>
    <s v="Done"/>
    <s v="U1300 R6.4 - NIC3 - Broadcast 07 - Broadcast cert upload via Network Centre"/>
    <m/>
  </r>
  <r>
    <n v="135"/>
    <s v="L&amp;G 82-R64"/>
    <x v="3"/>
    <s v="020 - Broadcast"/>
    <x v="85"/>
    <s v="2-High"/>
    <s v=" "/>
    <d v="2024-09-24T00:00:00"/>
    <d v="1899-12-30T17:13:35"/>
    <s v="RBT"/>
    <s v="RBT"/>
    <s v="mkalra(Manoj Kalra)"/>
    <s v="knjuguna(Kamau Njuguna)"/>
    <s v="RBT"/>
    <s v="Done"/>
    <s v="U1300 R6.4 - NIC3 - Broadcast 06 - Broadcast cert upload via FSU"/>
    <m/>
  </r>
  <r>
    <n v="1802"/>
    <s v="L&amp;G 82-R64"/>
    <x v="0"/>
    <s v="HSM Cert Refresh"/>
    <x v="86"/>
    <s v="3-Medium"/>
    <s v=" "/>
    <d v="2024-10-14T00:00:00"/>
    <d v="1899-12-30T15:05:53"/>
    <s v="RBT"/>
    <s v="Passed"/>
    <s v="mkalra(Manoj Kalra)"/>
    <s v="mkalra(Manoj Kalra)"/>
    <s v="Executed"/>
    <s v="Done"/>
    <s v="U3400 R6.4 - NIC5 - HCM -  Send message to IHD"/>
    <m/>
  </r>
  <r>
    <n v="1802"/>
    <s v="L&amp;G 82-R64"/>
    <x v="1"/>
    <s v="HSM Cert Refresh"/>
    <x v="86"/>
    <s v="3-Medium"/>
    <s v=" "/>
    <d v="2024-10-14T00:00:00"/>
    <d v="1899-12-30T15:07:08"/>
    <s v="RBT"/>
    <s v="Blocked"/>
    <s v="mkalra(Manoj Kalra)"/>
    <s v="mkalra(Manoj Kalra)"/>
    <s v="No Run"/>
    <s v="Blocked"/>
    <s v="U3400 R6.4 - NIC3 - HCM -  Send message to IHD"/>
    <m/>
  </r>
  <r>
    <n v="1802"/>
    <s v="L&amp;G 82-R64"/>
    <x v="2"/>
    <s v="HSM Cert Refresh"/>
    <x v="86"/>
    <s v="3-Medium"/>
    <s v="No appropriate meter with HAN certificate but passed on NIC320 meter"/>
    <d v="2024-10-15T00:00:00"/>
    <d v="1899-12-30T14:33:04"/>
    <s v="RBT"/>
    <s v="RBT"/>
    <s v="knjuguna(Kamau Njuguna)"/>
    <s v="knjuguna(Kamau Njuguna)"/>
    <s v="RBT"/>
    <s v="Done"/>
    <s v="U1300 R6.4 - NIC5 - HCM -  Send message to IHD"/>
    <m/>
  </r>
  <r>
    <n v="1802"/>
    <s v="L&amp;G 82-R64"/>
    <x v="3"/>
    <s v="HSM Cert Refresh"/>
    <x v="86"/>
    <s v="3-Medium"/>
    <s v=" "/>
    <d v="2024-10-15T00:00:00"/>
    <d v="1899-12-30T13:46:28"/>
    <s v="RBT"/>
    <s v="Passed"/>
    <s v="knjuguna(Kamau Njuguna)"/>
    <s v="knjuguna(Kamau Njuguna)"/>
    <s v="Executed"/>
    <s v="Done"/>
    <s v="U1300 R6.4 - NIC3 - HCM -  Send message to IHD"/>
    <m/>
  </r>
  <r>
    <n v="1722"/>
    <s v="L&amp;G 82-R64"/>
    <x v="0"/>
    <s v="PQ Polling"/>
    <x v="87"/>
    <s v="1-Critical"/>
    <s v=" "/>
    <d v="2024-09-24T00:00:00"/>
    <d v="1899-12-30T17:17:33"/>
    <s v="RBT"/>
    <s v="RBT"/>
    <s v="mkalra(Manoj Kalra)"/>
    <s v="mkalra(Manoj Kalra)"/>
    <s v="RBT"/>
    <s v="Done"/>
    <s v="U3400 R6.4 - NIC5 - 02 L&amp;G  PQ Configuration - Remote Enable-Disable"/>
    <m/>
  </r>
  <r>
    <n v="1722"/>
    <s v="L&amp;G 82-R64"/>
    <x v="1"/>
    <s v="PQ Polling"/>
    <x v="87"/>
    <s v="1-Critical"/>
    <s v=" "/>
    <d v="2024-09-24T00:00:00"/>
    <d v="1899-12-30T17:15:48"/>
    <s v="RBT"/>
    <s v="RBT"/>
    <s v="mkalra(Manoj Kalra)"/>
    <s v="mkalra(Manoj Kalra)"/>
    <s v="RBT"/>
    <s v="Done"/>
    <s v="U3400 R6.4 - NIC3 - 02 L&amp;G  PQ Configuration - Remote Enable-Disable"/>
    <m/>
  </r>
  <r>
    <n v="1722"/>
    <s v="L&amp;G 82-R64"/>
    <x v="2"/>
    <s v="PQ Polling"/>
    <x v="87"/>
    <s v="1-Critical"/>
    <s v=" "/>
    <d v="2024-09-24T00:00:00"/>
    <d v="1899-12-30T17:15:17"/>
    <s v="RBT"/>
    <s v="RBT"/>
    <s v="mkalra(Manoj Kalra)"/>
    <s v="knjuguna(Kamau Njuguna)"/>
    <s v="RBT"/>
    <s v="Done"/>
    <s v="U1300 R6.4 - NIC5 - 02 L&amp;G  PQ Configuration - Remote Enable-Disable"/>
    <m/>
  </r>
  <r>
    <n v="1722"/>
    <s v="L&amp;G 82-R64"/>
    <x v="3"/>
    <s v="PQ Polling"/>
    <x v="87"/>
    <s v="1-Critical"/>
    <s v=" "/>
    <d v="2024-09-24T00:00:00"/>
    <d v="1899-12-30T17:12:20"/>
    <s v="RBT"/>
    <s v="RBT"/>
    <s v="mkalra(Manoj Kalra)"/>
    <s v="knjuguna(Kamau Njuguna)"/>
    <s v="RBT"/>
    <s v="Done"/>
    <s v="U1300 R6.4 - NIC3 - 02 L&amp;G  PQ Configuration - Remote Enable-Disable"/>
    <m/>
  </r>
  <r>
    <n v="1723"/>
    <s v="L&amp;G 82-R64"/>
    <x v="3"/>
    <s v="PQ Polling"/>
    <x v="88"/>
    <s v="1-Critical"/>
    <s v=" "/>
    <d v="2024-09-24T00:00:00"/>
    <d v="1899-12-30T17:12:28"/>
    <s v="RBT"/>
    <s v="RBT"/>
    <s v="mkalra(Manoj Kalra)"/>
    <s v="knjuguna(Kamau Njuguna)"/>
    <s v="RBT"/>
    <s v="Done"/>
    <s v="U1300 R6.4 - NIC3 - 03 L&amp;G PQ Polling - Data Integrity"/>
    <m/>
  </r>
  <r>
    <n v="1723"/>
    <s v="L&amp;G 82-R64"/>
    <x v="2"/>
    <s v="PQ Polling"/>
    <x v="88"/>
    <s v="1-Critical"/>
    <s v=" "/>
    <d v="2024-09-24T00:00:00"/>
    <d v="1899-12-30T17:15:19"/>
    <s v="RBT"/>
    <s v="RBT"/>
    <s v="mkalra(Manoj Kalra)"/>
    <s v="knjuguna(Kamau Njuguna)"/>
    <s v="RBT"/>
    <s v="Done"/>
    <s v="U1300 R6.4 - NIC5 - 03 L&amp;G PQ Polling - Data Integrity"/>
    <m/>
  </r>
  <r>
    <n v="1723"/>
    <s v="L&amp;G 82-R64"/>
    <x v="1"/>
    <s v="PQ Polling"/>
    <x v="88"/>
    <s v="1-Critical"/>
    <s v=" "/>
    <d v="2024-09-24T00:00:00"/>
    <d v="1899-12-30T17:15:49"/>
    <s v="RBT"/>
    <s v="RBT"/>
    <s v="mkalra(Manoj Kalra)"/>
    <s v="mkalra(Manoj Kalra)"/>
    <s v="RBT"/>
    <s v="Done"/>
    <s v="U3400 R6.4 - NIC3 - 03 L&amp;G PQ Polling - Data Integrity"/>
    <m/>
  </r>
  <r>
    <n v="1723"/>
    <s v="L&amp;G 82-R64"/>
    <x v="0"/>
    <s v="PQ Polling"/>
    <x v="88"/>
    <s v="1-Critical"/>
    <s v=" "/>
    <d v="2024-09-24T00:00:00"/>
    <d v="1899-12-30T17:17:23"/>
    <s v="RBT"/>
    <s v="RBT"/>
    <s v="mkalra(Manoj Kalra)"/>
    <s v="mkalra(Manoj Kalra)"/>
    <s v="RBT"/>
    <s v="Done"/>
    <s v="U3400 R6.4 - NIC5 - 03 L&amp;G PQ Polling - Data Integrity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n v="36"/>
    <x v="0"/>
    <s v="U3400 R6.4 - NIC5"/>
    <s v="001 - Commissioning"/>
    <s v="Meter state transitions - New to xxx to Active"/>
    <x v="0"/>
    <s v=" "/>
    <d v="2024-09-24T00:00:00"/>
    <d v="1899-12-30T17:16:59"/>
    <s v="RBT"/>
    <x v="0"/>
    <s v="mkalra(Manoj Kalra)"/>
    <x v="0"/>
    <s v="RBT"/>
    <x v="0"/>
    <s v="U3400 R6.4 - NIC5 - Meter state transitions - New to xxx to Active"/>
  </r>
  <r>
    <n v="36"/>
    <x v="0"/>
    <s v="U3400 R6.4 - NIC5"/>
    <s v="001 - Commissioning"/>
    <s v="Meter state transitions - New to xxx to Active"/>
    <x v="0"/>
    <s v=" "/>
    <d v="2024-09-24T00:00:00"/>
    <d v="1899-12-30T17:17:00"/>
    <s v="RBT"/>
    <x v="0"/>
    <s v="mkalra(Manoj Kalra)"/>
    <x v="0"/>
    <s v="RBT"/>
    <x v="0"/>
    <s v="U3400 R6.4 - NIC5 - Meter state transitions - New to xxx to Active"/>
  </r>
  <r>
    <n v="36"/>
    <x v="0"/>
    <s v="U3400 R6.4 - NIC3"/>
    <s v="001 - Commissioning"/>
    <s v="Meter state transitions - New to xxx to Active"/>
    <x v="0"/>
    <s v=" "/>
    <d v="2024-09-24T00:00:00"/>
    <d v="1899-12-30T17:16:12"/>
    <s v="RBT"/>
    <x v="0"/>
    <s v="mkalra(Manoj Kalra)"/>
    <x v="0"/>
    <s v="RBT"/>
    <x v="0"/>
    <s v="U3400 R6.4 - NIC3 - Meter state transitions - New to xxx to Active"/>
  </r>
  <r>
    <n v="36"/>
    <x v="0"/>
    <s v="U3400 R6.4 - NIC3"/>
    <s v="001 - Commissioning"/>
    <s v="Meter state transitions - New to xxx to Active"/>
    <x v="0"/>
    <s v=" "/>
    <d v="2024-09-24T00:00:00"/>
    <d v="1899-12-30T17:16:11"/>
    <s v="RBT"/>
    <x v="0"/>
    <s v="mkalra(Manoj Kalra)"/>
    <x v="0"/>
    <s v="RBT"/>
    <x v="0"/>
    <s v="U3400 R6.4 - NIC3 - Meter state transitions - New to xxx to Active"/>
  </r>
  <r>
    <n v="36"/>
    <x v="0"/>
    <s v="U1300 R6.4 - NIC5"/>
    <s v="001 - Commissioning"/>
    <s v="Meter state transitions - New to xxx to Active"/>
    <x v="0"/>
    <s v=" "/>
    <d v="2024-09-24T00:00:00"/>
    <d v="1899-12-30T17:14:47"/>
    <s v="RBT"/>
    <x v="0"/>
    <s v="mkalra(Manoj Kalra)"/>
    <x v="1"/>
    <s v="RBT"/>
    <x v="0"/>
    <s v="U1300 R6.4 - NIC5 - Meter state transitions - New to xxx to Active"/>
  </r>
  <r>
    <n v="36"/>
    <x v="0"/>
    <s v="U1300 R6.4 - NIC5"/>
    <s v="001 - Commissioning"/>
    <s v="Meter state transitions - New to xxx to Active"/>
    <x v="0"/>
    <s v=" "/>
    <d v="2024-09-24T00:00:00"/>
    <d v="1899-12-30T17:14:48"/>
    <s v="RBT"/>
    <x v="0"/>
    <s v="mkalra(Manoj Kalra)"/>
    <x v="1"/>
    <s v="RBT"/>
    <x v="0"/>
    <s v="U1300 R6.4 - NIC5 - Meter state transitions - New to xxx to Active"/>
  </r>
  <r>
    <n v="36"/>
    <x v="0"/>
    <s v="U1300 R6.4 - NIC3"/>
    <s v="001 - Commissioning"/>
    <s v="Meter state transitions - New to xxx to Active"/>
    <x v="0"/>
    <s v=" "/>
    <d v="2024-09-24T00:00:00"/>
    <d v="1899-12-30T17:14:24"/>
    <s v="RBT"/>
    <x v="0"/>
    <s v="mkalra(Manoj Kalra)"/>
    <x v="1"/>
    <s v="RBT"/>
    <x v="0"/>
    <s v="U1300 R6.4 - NIC3 - Meter state transitions - New to xxx to Active"/>
  </r>
  <r>
    <n v="36"/>
    <x v="0"/>
    <s v="U1300 R6.4 - NIC3"/>
    <s v="001 - Commissioning"/>
    <s v="Meter state transitions - New to xxx to Active"/>
    <x v="0"/>
    <s v=" "/>
    <d v="2024-09-24T00:00:00"/>
    <d v="1899-12-30T17:14:21"/>
    <s v="RBT"/>
    <x v="0"/>
    <s v="mkalra(Manoj Kalra)"/>
    <x v="1"/>
    <s v="RBT"/>
    <x v="0"/>
    <s v="U1300 R6.4 - NIC3 - Meter state transitions - New to xxx to Active"/>
  </r>
  <r>
    <n v="32"/>
    <x v="0"/>
    <s v="U1300 R6.4 - NIC3"/>
    <s v="001 - Commissioning"/>
    <s v="Reloading RMA meters into UIQ"/>
    <x v="0"/>
    <s v=" "/>
    <d v="2024-09-24T00:00:00"/>
    <d v="1899-12-30T17:14:26"/>
    <s v="RBT"/>
    <x v="0"/>
    <s v="mkalra(Manoj Kalra)"/>
    <x v="1"/>
    <s v="RBT"/>
    <x v="0"/>
    <s v="U1300 R6.4 - NIC3 - Reloading RMA meters into UIQ"/>
  </r>
  <r>
    <n v="32"/>
    <x v="0"/>
    <s v="U1300 R6.4 - NIC3"/>
    <s v="001 - Commissioning"/>
    <s v="Reloading RMA meters into UIQ"/>
    <x v="0"/>
    <s v=" "/>
    <d v="2024-09-24T00:00:00"/>
    <d v="1899-12-30T17:14:34"/>
    <s v="RBT"/>
    <x v="0"/>
    <s v="mkalra(Manoj Kalra)"/>
    <x v="1"/>
    <s v="RBT"/>
    <x v="0"/>
    <s v="U1300 R6.4 - NIC3 - Reloading RMA meters into UIQ"/>
  </r>
  <r>
    <n v="32"/>
    <x v="0"/>
    <s v="U1300 R6.4 - NIC5"/>
    <s v="001 - Commissioning"/>
    <s v="Reloading RMA meters into UIQ"/>
    <x v="0"/>
    <s v=" "/>
    <d v="2024-09-24T00:00:00"/>
    <d v="1899-12-30T17:14:45"/>
    <s v="RBT"/>
    <x v="0"/>
    <s v="mkalra(Manoj Kalra)"/>
    <x v="1"/>
    <s v="RBT"/>
    <x v="0"/>
    <s v="U1300 R6.4 - NIC5 - Reloading RMA meters into UIQ"/>
  </r>
  <r>
    <n v="32"/>
    <x v="0"/>
    <s v="U1300 R6.4 - NIC5"/>
    <s v="001 - Commissioning"/>
    <s v="Reloading RMA meters into UIQ"/>
    <x v="0"/>
    <s v=" "/>
    <d v="2024-09-24T00:00:00"/>
    <d v="1899-12-30T17:14:43"/>
    <s v="RBT"/>
    <x v="0"/>
    <s v="mkalra(Manoj Kalra)"/>
    <x v="1"/>
    <s v="RBT"/>
    <x v="0"/>
    <s v="U1300 R6.4 - NIC5 - Reloading RMA meters into UIQ"/>
  </r>
  <r>
    <n v="32"/>
    <x v="0"/>
    <s v="U3400 R6.4 - NIC3"/>
    <s v="001 - Commissioning"/>
    <s v="Reloading RMA meters into UIQ"/>
    <x v="0"/>
    <s v=" "/>
    <d v="2024-09-24T00:00:00"/>
    <d v="1899-12-30T17:16:44"/>
    <s v="RBT"/>
    <x v="0"/>
    <s v="mkalra(Manoj Kalra)"/>
    <x v="0"/>
    <s v="RBT"/>
    <x v="0"/>
    <s v="U3400 R6.4 - NIC3 - Reloading RMA meters into UIQ"/>
  </r>
  <r>
    <n v="32"/>
    <x v="0"/>
    <s v="U3400 R6.4 - NIC3"/>
    <s v="001 - Commissioning"/>
    <s v="Reloading RMA meters into UIQ"/>
    <x v="0"/>
    <s v=" "/>
    <d v="2024-09-24T00:00:00"/>
    <d v="1899-12-30T17:16:14"/>
    <s v="RBT"/>
    <x v="0"/>
    <s v="mkalra(Manoj Kalra)"/>
    <x v="0"/>
    <s v="RBT"/>
    <x v="0"/>
    <s v="U3400 R6.4 - NIC3 - Reloading RMA meters into UIQ"/>
  </r>
  <r>
    <n v="32"/>
    <x v="0"/>
    <s v="U3400 R6.4 - NIC5"/>
    <s v="001 - Commissioning"/>
    <s v="Reloading RMA meters into UIQ"/>
    <x v="0"/>
    <s v=" "/>
    <d v="2024-09-24T00:00:00"/>
    <d v="1899-12-30T17:16:58"/>
    <s v="RBT"/>
    <x v="0"/>
    <s v="mkalra(Manoj Kalra)"/>
    <x v="0"/>
    <s v="RBT"/>
    <x v="0"/>
    <s v="U3400 R6.4 - NIC5 - Reloading RMA meters into UIQ"/>
  </r>
  <r>
    <n v="32"/>
    <x v="0"/>
    <s v="U3400 R6.4 - NIC5"/>
    <s v="001 - Commissioning"/>
    <s v="Reloading RMA meters into UIQ"/>
    <x v="0"/>
    <s v=" "/>
    <d v="2024-09-24T00:00:00"/>
    <d v="1899-12-30T17:16:56"/>
    <s v="RBT"/>
    <x v="0"/>
    <s v="mkalra(Manoj Kalra)"/>
    <x v="0"/>
    <s v="RBT"/>
    <x v="0"/>
    <s v="U3400 R6.4 - NIC5 - Reloading RMA meters into UIQ"/>
  </r>
  <r>
    <n v="963"/>
    <x v="0"/>
    <s v="U3400 R6.4 - NIC3"/>
    <s v="004 - Time"/>
    <s v="01 Meter Time synchronisation to NIC - forward within interval (Auto)"/>
    <x v="1"/>
    <s v=" "/>
    <d v="2024-10-01T00:00:00"/>
    <d v="1899-12-30T16:14:40"/>
    <s v="Passed"/>
    <x v="1"/>
    <s v="mkalra(Manoj Kalra)"/>
    <x v="0"/>
    <s v="Executed"/>
    <x v="0"/>
    <s v="U3400 R6.4 - NIC3 - 01 Meter Time synchronisation to NIC - forward within interval (Auto)"/>
  </r>
  <r>
    <n v="153"/>
    <x v="0"/>
    <s v="U3400 R6.4 - NIC3"/>
    <s v="004 - Time"/>
    <s v="02 Meter Time synchronisation to NIC - forward within interval (Force)"/>
    <x v="0"/>
    <s v=" "/>
    <d v="2024-10-02T00:00:00"/>
    <d v="1899-12-30T11:25:54"/>
    <s v="Passed"/>
    <x v="1"/>
    <s v="mkalra(Manoj Kalra)"/>
    <x v="0"/>
    <s v="Executed"/>
    <x v="0"/>
    <s v="U3400 R6.4 - NIC3 - 02 Meter Time synchronisation to NIC - forward within interval (Force)"/>
  </r>
  <r>
    <n v="154"/>
    <x v="0"/>
    <s v="U3400 R6.4 - NIC3"/>
    <s v="004 - Time"/>
    <s v="03 Meter Time synchronisation to NIC - backward within interval (Auto)"/>
    <x v="1"/>
    <s v=" "/>
    <d v="2024-10-02T00:00:00"/>
    <d v="1899-12-30T13:43:20"/>
    <s v="Passed"/>
    <x v="1"/>
    <s v="mkalra(Manoj Kalra)"/>
    <x v="0"/>
    <s v="Executed"/>
    <x v="0"/>
    <s v="U3400 R6.4 - NIC3 - 03 Meter Time synchronisation to NIC - backward within interval (Auto)"/>
  </r>
  <r>
    <n v="158"/>
    <x v="0"/>
    <s v="U3400 R6.4 - NIC3"/>
    <s v="004 - Time"/>
    <s v="04 Meter Time synchronisation to NIC - backward within interval (Force)"/>
    <x v="0"/>
    <s v=" "/>
    <d v="2024-10-02T00:00:00"/>
    <d v="1899-12-30T14:37:18"/>
    <s v="Passed"/>
    <x v="1"/>
    <s v="mkalra(Manoj Kalra)"/>
    <x v="0"/>
    <s v="Executed"/>
    <x v="0"/>
    <s v="U3400 R6.4 - NIC3 - 04 Meter Time synchronisation to NIC - backward within interval (Force)"/>
  </r>
  <r>
    <n v="156"/>
    <x v="0"/>
    <s v="U3400 R6.4 - NIC3"/>
    <s v="004 - Time"/>
    <s v="05 Meter Time synchronisation to NIC - forward crossing interval (Auto)"/>
    <x v="1"/>
    <s v=" "/>
    <d v="2024-10-02T00:00:00"/>
    <d v="1899-12-30T15:42:13"/>
    <s v="Passed"/>
    <x v="1"/>
    <s v="mkalra(Manoj Kalra)"/>
    <x v="0"/>
    <s v="Executed"/>
    <x v="0"/>
    <s v="U3400 R6.4 - NIC3 - 05 Meter Time synchronisation to NIC - forward crossing interval (Auto)"/>
  </r>
  <r>
    <n v="157"/>
    <x v="0"/>
    <s v="U3400 R6.4 - NIC3"/>
    <s v="004 - Time"/>
    <s v="06 Meter Time synchronisation to NIC - forward crossing interval (Force)"/>
    <x v="1"/>
    <s v=" "/>
    <d v="2024-10-03T00:00:00"/>
    <d v="1899-12-30T11:04:09"/>
    <s v="Passed"/>
    <x v="1"/>
    <s v="mkalra(Manoj Kalra)"/>
    <x v="0"/>
    <s v="Executed"/>
    <x v="0"/>
    <s v="U3400 R6.4 - NIC3 - 06 Meter Time synchronisation to NIC - forward crossing interval (Force)"/>
  </r>
  <r>
    <n v="159"/>
    <x v="0"/>
    <s v="U3400 R6.4 - NIC3"/>
    <s v="004 - Time"/>
    <s v="07 Meter Time synchronisation to NIC - backward crossing interval (Auto)"/>
    <x v="1"/>
    <s v=" "/>
    <d v="2024-10-14T00:00:00"/>
    <d v="1899-12-30T16:18:25"/>
    <s v="Passed"/>
    <x v="1"/>
    <s v="mkalra(Manoj Kalra)"/>
    <x v="0"/>
    <s v="Executed"/>
    <x v="0"/>
    <s v="U3400 R6.4 - NIC3 - 07 Meter Time synchronisation to NIC - backward crossing interval (Auto)"/>
  </r>
  <r>
    <n v="964"/>
    <x v="0"/>
    <s v="U3400 R6.4 - NIC3"/>
    <s v="004 - Time"/>
    <s v="08 Meter Time synchronisation to NIC - backward crossing interval (Force)"/>
    <x v="1"/>
    <s v=" "/>
    <d v="2024-10-14T00:00:00"/>
    <d v="1899-12-30T16:19:53"/>
    <s v="Passed"/>
    <x v="1"/>
    <s v="mkalra(Manoj Kalra)"/>
    <x v="0"/>
    <s v="Executed"/>
    <x v="0"/>
    <s v="U3400 R6.4 - NIC3 - 08 Meter Time synchronisation to NIC - backward crossing interval (Force)"/>
  </r>
  <r>
    <n v="963"/>
    <x v="0"/>
    <s v="U1300 R6.4 - NIC3"/>
    <s v="004 - Time"/>
    <s v="01 Meter Time synchronisation to NIC - forward within interval (Auto)"/>
    <x v="1"/>
    <s v=" "/>
    <d v="2024-10-11T00:00:00"/>
    <d v="1899-12-30T10:18:41"/>
    <s v="Passed"/>
    <x v="1"/>
    <s v="knjuguna(Kamau Njuguna)"/>
    <x v="1"/>
    <s v="Executed"/>
    <x v="0"/>
    <s v="U1300 R6.4 - NIC3 - 01 Meter Time synchronisation to NIC - forward within interval (Auto)"/>
  </r>
  <r>
    <n v="153"/>
    <x v="0"/>
    <s v="U1300 R6.4 - NIC3"/>
    <s v="004 - Time"/>
    <s v="02 Meter Time synchronisation to NIC - forward within interval (Force)"/>
    <x v="0"/>
    <s v=" "/>
    <d v="2024-10-11T00:00:00"/>
    <d v="1899-12-30T11:41:11"/>
    <s v="Passed"/>
    <x v="1"/>
    <s v="knjuguna(Kamau Njuguna)"/>
    <x v="1"/>
    <s v="Executed"/>
    <x v="0"/>
    <s v="U1300 R6.4 - NIC3 - 02 Meter Time synchronisation to NIC - forward within interval (Force)"/>
  </r>
  <r>
    <n v="154"/>
    <x v="0"/>
    <s v="U1300 R6.4 - NIC3"/>
    <s v="004 - Time"/>
    <s v="03 Meter Time synchronisation to NIC - backward within interval (Auto)"/>
    <x v="1"/>
    <s v=" "/>
    <d v="2024-10-11T00:00:00"/>
    <d v="1899-12-30T14:52:15"/>
    <s v="Passed"/>
    <x v="1"/>
    <s v="knjuguna(Kamau Njuguna)"/>
    <x v="1"/>
    <s v="Executed"/>
    <x v="0"/>
    <s v="U1300 R6.4 - NIC3 - 03 Meter Time synchronisation to NIC - backward within interval (Auto)"/>
  </r>
  <r>
    <n v="158"/>
    <x v="0"/>
    <s v="U1300 R6.4 - NIC3"/>
    <s v="004 - Time"/>
    <s v="04 Meter Time synchronisation to NIC - backward within interval (Force)"/>
    <x v="0"/>
    <s v=" "/>
    <d v="2024-10-11T00:00:00"/>
    <d v="1899-12-30T15:48:30"/>
    <s v="Passed"/>
    <x v="1"/>
    <s v="knjuguna(Kamau Njuguna)"/>
    <x v="1"/>
    <s v="Executed"/>
    <x v="0"/>
    <s v="U1300 R6.4 - NIC3 - 04 Meter Time synchronisation to NIC - backward within interval (Force)"/>
  </r>
  <r>
    <n v="156"/>
    <x v="0"/>
    <s v="U1300 R6.4 - NIC3"/>
    <s v="004 - Time"/>
    <s v="05 Meter Time synchronisation to NIC - forward crossing interval (Auto)"/>
    <x v="1"/>
    <s v=" "/>
    <d v="2024-10-11T00:00:00"/>
    <d v="1899-12-30T17:14:36"/>
    <s v="Passed"/>
    <x v="1"/>
    <s v="knjuguna(Kamau Njuguna)"/>
    <x v="1"/>
    <s v="Executed"/>
    <x v="0"/>
    <s v="U1300 R6.4 - NIC3 - 05 Meter Time synchronisation to NIC - forward crossing interval (Auto)"/>
  </r>
  <r>
    <n v="157"/>
    <x v="0"/>
    <s v="U1300 R6.4 - NIC3"/>
    <s v="004 - Time"/>
    <s v="06 Meter Time synchronisation to NIC - forward crossing interval (Force)"/>
    <x v="1"/>
    <s v=" "/>
    <d v="2024-10-14T00:00:00"/>
    <d v="1899-12-30T09:57:50"/>
    <s v="Passed"/>
    <x v="1"/>
    <s v="knjuguna(Kamau Njuguna)"/>
    <x v="1"/>
    <s v="Executed"/>
    <x v="0"/>
    <s v="U1300 R6.4 - NIC3 - 06 Meter Time synchronisation to NIC - forward crossing interval (Force)"/>
  </r>
  <r>
    <n v="159"/>
    <x v="0"/>
    <s v="U1300 R6.4 - NIC3"/>
    <s v="004 - Time"/>
    <s v="07 Meter Time synchronisation to NIC - backward crossing interval (Auto)"/>
    <x v="1"/>
    <s v=" "/>
    <d v="2024-10-14T00:00:00"/>
    <d v="1899-12-30T11:20:13"/>
    <s v="Passed"/>
    <x v="1"/>
    <s v="knjuguna(Kamau Njuguna)"/>
    <x v="1"/>
    <s v="Executed"/>
    <x v="0"/>
    <s v="U1300 R6.4 - NIC3 - 07 Meter Time synchronisation to NIC - backward crossing interval (Auto)"/>
  </r>
  <r>
    <n v="964"/>
    <x v="0"/>
    <s v="U1300 R6.4 - NIC3"/>
    <s v="004 - Time"/>
    <s v="08 Meter Time synchronisation to NIC - backward crossing interval (Force)"/>
    <x v="1"/>
    <s v=" "/>
    <d v="2024-10-14T00:00:00"/>
    <d v="1899-12-30T13:11:41"/>
    <s v="Passed"/>
    <x v="1"/>
    <s v="knjuguna(Kamau Njuguna)"/>
    <x v="1"/>
    <s v="Executed"/>
    <x v="0"/>
    <s v="U1300 R6.4 - NIC3 - 08 Meter Time synchronisation to NIC - backward crossing interval (Force)"/>
  </r>
  <r>
    <n v="963"/>
    <x v="0"/>
    <s v="U3400 R6.4 - NIC5"/>
    <s v="004 - Time"/>
    <s v="01 Meter Time synchronisation to NIC - forward within interval (Auto)"/>
    <x v="1"/>
    <s v=" "/>
    <d v="2024-10-01T00:00:00"/>
    <d v="1899-12-30T16:14:45"/>
    <s v="Passed"/>
    <x v="1"/>
    <s v="mkalra(Manoj Kalra)"/>
    <x v="0"/>
    <s v="Executed"/>
    <x v="0"/>
    <s v="U3400 R6.4 - NIC5 - 01 Meter Time synchronisation to NIC - forward within interval (Auto)"/>
  </r>
  <r>
    <n v="153"/>
    <x v="0"/>
    <s v="U3400 R6.4 - NIC5"/>
    <s v="004 - Time"/>
    <s v="02 Meter Time synchronisation to NIC - forward within interval (Force)"/>
    <x v="0"/>
    <s v=" "/>
    <d v="2024-10-02T00:00:00"/>
    <d v="1899-12-30T11:25:52"/>
    <s v="Passed"/>
    <x v="1"/>
    <s v="mkalra(Manoj Kalra)"/>
    <x v="0"/>
    <s v="Executed"/>
    <x v="0"/>
    <s v="U3400 R6.4 - NIC5 - 02 Meter Time synchronisation to NIC - forward within interval (Force)"/>
  </r>
  <r>
    <n v="154"/>
    <x v="0"/>
    <s v="U3400 R6.4 - NIC5"/>
    <s v="004 - Time"/>
    <s v="03 Meter Time synchronisation to NIC - backward within interval (Auto)"/>
    <x v="1"/>
    <s v=" "/>
    <d v="2024-10-02T00:00:00"/>
    <d v="1899-12-30T13:43:00"/>
    <s v="Passed"/>
    <x v="1"/>
    <s v="mkalra(Manoj Kalra)"/>
    <x v="0"/>
    <s v="Executed"/>
    <x v="0"/>
    <s v="U3400 R6.4 - NIC5 - 03 Meter Time synchronisation to NIC - backward within interval (Auto)"/>
  </r>
  <r>
    <n v="158"/>
    <x v="0"/>
    <s v="U3400 R6.4 - NIC5"/>
    <s v="004 - Time"/>
    <s v="04 Meter Time synchronisation to NIC - backward within interval (Force)"/>
    <x v="0"/>
    <s v=" "/>
    <d v="2024-10-02T00:00:00"/>
    <d v="1899-12-30T14:37:22"/>
    <s v="Passed"/>
    <x v="1"/>
    <s v="mkalra(Manoj Kalra)"/>
    <x v="0"/>
    <s v="Executed"/>
    <x v="0"/>
    <s v="U3400 R6.4 - NIC5 - 04 Meter Time synchronisation to NIC - backward within interval (Force)"/>
  </r>
  <r>
    <n v="156"/>
    <x v="0"/>
    <s v="U3400 R6.4 - NIC5"/>
    <s v="004 - Time"/>
    <s v="05 Meter Time synchronisation to NIC - forward crossing interval (Auto)"/>
    <x v="1"/>
    <s v=" "/>
    <d v="2024-10-02T00:00:00"/>
    <d v="1899-12-30T15:38:07"/>
    <s v="Passed"/>
    <x v="1"/>
    <s v="mkalra(Manoj Kalra)"/>
    <x v="0"/>
    <s v="Executed"/>
    <x v="0"/>
    <s v="U3400 R6.4 - NIC5 - 05 Meter Time synchronisation to NIC - forward crossing interval (Auto)"/>
  </r>
  <r>
    <n v="157"/>
    <x v="0"/>
    <s v="U3400 R6.4 - NIC5"/>
    <s v="004 - Time"/>
    <s v="06 Meter Time synchronisation to NIC - forward crossing interval (Force)"/>
    <x v="1"/>
    <s v=" "/>
    <d v="2024-10-03T00:00:00"/>
    <d v="1899-12-30T11:04:12"/>
    <s v="Passed"/>
    <x v="1"/>
    <s v="mkalra(Manoj Kalra)"/>
    <x v="0"/>
    <s v="Executed"/>
    <x v="0"/>
    <s v="U3400 R6.4 - NIC5 - 06 Meter Time synchronisation to NIC - forward crossing interval (Force)"/>
  </r>
  <r>
    <n v="159"/>
    <x v="0"/>
    <s v="U3400 R6.4 - NIC5"/>
    <s v="004 - Time"/>
    <s v="07 Meter Time synchronisation to NIC - backward crossing interval (Auto)"/>
    <x v="1"/>
    <s v=" "/>
    <d v="2024-10-14T00:00:00"/>
    <d v="1899-12-30T16:20:58"/>
    <s v="Passed"/>
    <x v="1"/>
    <s v="mkalra(Manoj Kalra)"/>
    <x v="0"/>
    <s v="Executed"/>
    <x v="0"/>
    <s v="U3400 R6.4 - NIC5 - 07 Meter Time synchronisation to NIC - backward crossing interval (Auto)"/>
  </r>
  <r>
    <n v="964"/>
    <x v="0"/>
    <s v="U3400 R6.4 - NIC5"/>
    <s v="004 - Time"/>
    <s v="08 Meter Time synchronisation to NIC - backward crossing interval (Force)"/>
    <x v="1"/>
    <s v=" "/>
    <d v="2024-10-14T00:00:00"/>
    <d v="1899-12-30T16:21:49"/>
    <s v="Passed"/>
    <x v="1"/>
    <s v="mkalra(Manoj Kalra)"/>
    <x v="0"/>
    <s v="Executed"/>
    <x v="0"/>
    <s v="U3400 R6.4 - NIC5 - 08 Meter Time synchronisation to NIC - backward crossing interval (Force)"/>
  </r>
  <r>
    <n v="963"/>
    <x v="0"/>
    <s v="U1300 R6.4 - NIC5"/>
    <s v="004 - Time"/>
    <s v="01 Meter Time synchronisation to NIC - forward within interval (Auto)"/>
    <x v="1"/>
    <s v=" "/>
    <d v="2024-10-11T00:00:00"/>
    <d v="1899-12-30T10:22:49"/>
    <s v="Passed"/>
    <x v="1"/>
    <s v="knjuguna(Kamau Njuguna)"/>
    <x v="1"/>
    <s v="Executed"/>
    <x v="0"/>
    <s v="U1300 R6.4 - NIC5 - 01 Meter Time synchronisation to NIC - forward within interval (Auto)"/>
  </r>
  <r>
    <n v="153"/>
    <x v="0"/>
    <s v="U1300 R6.4 - NIC5"/>
    <s v="004 - Time"/>
    <s v="02 Meter Time synchronisation to NIC - forward within interval (Force)"/>
    <x v="0"/>
    <s v=" "/>
    <d v="2024-10-11T00:00:00"/>
    <d v="1899-12-30T11:52:24"/>
    <s v="Passed"/>
    <x v="1"/>
    <s v="knjuguna(Kamau Njuguna)"/>
    <x v="1"/>
    <s v="Executed"/>
    <x v="0"/>
    <s v="U1300 R6.4 - NIC5 - 02 Meter Time synchronisation to NIC - forward within interval (Force)"/>
  </r>
  <r>
    <n v="154"/>
    <x v="0"/>
    <s v="U1300 R6.4 - NIC5"/>
    <s v="004 - Time"/>
    <s v="03 Meter Time synchronisation to NIC - backward within interval (Auto)"/>
    <x v="1"/>
    <s v=" "/>
    <d v="2024-10-11T00:00:00"/>
    <d v="1899-12-30T14:43:10"/>
    <s v="Passed"/>
    <x v="1"/>
    <s v="knjuguna(Kamau Njuguna)"/>
    <x v="1"/>
    <s v="Executed"/>
    <x v="0"/>
    <s v="U1300 R6.4 - NIC5 - 03 Meter Time synchronisation to NIC - backward within interval (Auto)"/>
  </r>
  <r>
    <n v="158"/>
    <x v="0"/>
    <s v="U1300 R6.4 - NIC5"/>
    <s v="004 - Time"/>
    <s v="04 Meter Time synchronisation to NIC - backward within interval (Force)"/>
    <x v="0"/>
    <s v=" "/>
    <d v="2024-10-11T00:00:00"/>
    <d v="1899-12-30T15:51:44"/>
    <s v="Passed"/>
    <x v="1"/>
    <s v="knjuguna(Kamau Njuguna)"/>
    <x v="1"/>
    <s v="Executed"/>
    <x v="0"/>
    <s v="U1300 R6.4 - NIC5 - 04 Meter Time synchronisation to NIC - backward within interval (Force)"/>
  </r>
  <r>
    <n v="156"/>
    <x v="0"/>
    <s v="U1300 R6.4 - NIC5"/>
    <s v="004 - Time"/>
    <s v="05 Meter Time synchronisation to NIC - forward crossing interval (Auto)"/>
    <x v="1"/>
    <s v=" "/>
    <d v="2024-10-11T00:00:00"/>
    <d v="1899-12-30T17:19:14"/>
    <s v="Passed"/>
    <x v="1"/>
    <s v="knjuguna(Kamau Njuguna)"/>
    <x v="1"/>
    <s v="Executed"/>
    <x v="0"/>
    <s v="U1300 R6.4 - NIC5 - 05 Meter Time synchronisation to NIC - forward crossing interval (Auto)"/>
  </r>
  <r>
    <n v="157"/>
    <x v="0"/>
    <s v="U1300 R6.4 - NIC5"/>
    <s v="004 - Time"/>
    <s v="06 Meter Time synchronisation to NIC - forward crossing interval (Force)"/>
    <x v="1"/>
    <s v=" "/>
    <d v="2024-10-14T00:00:00"/>
    <d v="1899-12-30T09:59:03"/>
    <s v="Passed"/>
    <x v="1"/>
    <s v="knjuguna(Kamau Njuguna)"/>
    <x v="1"/>
    <s v="Executed"/>
    <x v="0"/>
    <s v="U1300 R6.4 - NIC5 - 06 Meter Time synchronisation to NIC - forward crossing interval (Force)"/>
  </r>
  <r>
    <n v="159"/>
    <x v="0"/>
    <s v="U1300 R6.4 - NIC5"/>
    <s v="004 - Time"/>
    <s v="07 Meter Time synchronisation to NIC - backward crossing interval (Auto)"/>
    <x v="1"/>
    <s v=" "/>
    <d v="2024-10-14T00:00:00"/>
    <d v="1899-12-30T11:32:51"/>
    <s v="Passed"/>
    <x v="1"/>
    <s v="knjuguna(Kamau Njuguna)"/>
    <x v="1"/>
    <s v="Executed"/>
    <x v="0"/>
    <s v="U1300 R6.4 - NIC5 - 07 Meter Time synchronisation to NIC - backward crossing interval (Auto)"/>
  </r>
  <r>
    <n v="964"/>
    <x v="0"/>
    <s v="U1300 R6.4 - NIC5"/>
    <s v="004 - Time"/>
    <s v="08 Meter Time synchronisation to NIC - backward crossing interval (Force)"/>
    <x v="1"/>
    <s v=" "/>
    <d v="2024-10-14T00:00:00"/>
    <d v="1899-12-30T13:15:02"/>
    <s v="Passed"/>
    <x v="1"/>
    <s v="knjuguna(Kamau Njuguna)"/>
    <x v="1"/>
    <s v="Executed"/>
    <x v="0"/>
    <s v="U1300 R6.4 - NIC5 - 08 Meter Time synchronisation to NIC - backward crossing interval (Force)"/>
  </r>
  <r>
    <n v="39"/>
    <x v="0"/>
    <s v="U3400 R6.4 - NIC3"/>
    <s v="007 - Meter Firmware"/>
    <s v="FWU meter firmware upgrade - (seedingpercent) percent seeded - Uninterrupted"/>
    <x v="0"/>
    <s v=" "/>
    <d v="2024-10-08T00:00:00"/>
    <d v="1899-12-30T10:10:49"/>
    <s v="Failed"/>
    <x v="2"/>
    <s v="mkalra(Manoj Kalra)"/>
    <x v="0"/>
    <s v="Executed"/>
    <x v="0"/>
    <s v="U3400 R6.4 - NIC3 - FWU meter firmware upgrade - (seedingpercent) percent seeded - Uninterrupted"/>
  </r>
  <r>
    <n v="1703"/>
    <x v="0"/>
    <s v="U3400 R6.4 - NIC3"/>
    <s v="007 - Meter Firmware"/>
    <s v="FWU meter firmware upgrade - (seedingpercent) percent seeded - Interrupted"/>
    <x v="0"/>
    <s v="This Test is performed on U1300 meter"/>
    <d v="2024-10-14T00:00:00"/>
    <d v="1899-12-30T16:29:03"/>
    <s v="Failed"/>
    <x v="0"/>
    <s v="mkalra(Manoj Kalra)"/>
    <x v="0"/>
    <s v="RBT"/>
    <x v="0"/>
    <s v="U3400 R6.4 - NIC3 - FWU meter firmware upgrade - (seedingpercent) percent seeded - Interrupted"/>
  </r>
  <r>
    <n v="38"/>
    <x v="0"/>
    <s v="U3400 R6.4 - NIC3"/>
    <s v="007 - Meter Firmware"/>
    <s v="Meter firmware audit"/>
    <x v="0"/>
    <s v=" "/>
    <d v="2024-10-04T00:00:00"/>
    <d v="1899-12-30T09:11:28"/>
    <s v="Passed"/>
    <x v="1"/>
    <s v="mkalra(Manoj Kalra)"/>
    <x v="0"/>
    <s v="Executed"/>
    <x v="0"/>
    <s v="U3400 R6.4 - NIC3 - Meter firmware audit"/>
  </r>
  <r>
    <n v="39"/>
    <x v="0"/>
    <s v="U1300 R6.4 - NIC3"/>
    <s v="007 - Meter Firmware"/>
    <s v="FWU meter firmware upgrade - (seedingpercent) percent seeded - Uninterrupted"/>
    <x v="0"/>
    <s v=" "/>
    <d v="2024-09-20T00:00:00"/>
    <d v="1899-12-30T11:00:12"/>
    <s v="Failed"/>
    <x v="2"/>
    <s v="knjuguna(Kamau Njuguna)"/>
    <x v="1"/>
    <s v="Executed"/>
    <x v="0"/>
    <s v="U1300 R6.4 - NIC3 - FWU meter firmware upgrade - (seedingpercent) percent seeded - Uninterrupted"/>
  </r>
  <r>
    <n v="1703"/>
    <x v="0"/>
    <s v="U1300 R6.4 - NIC3"/>
    <s v="007 - Meter Firmware"/>
    <s v="FWU meter firmware upgrade - (seedingpercent) percent seeded - Interrupted"/>
    <x v="0"/>
    <s v=" "/>
    <d v="2024-10-16T00:00:00"/>
    <d v="1899-12-30T09:32:24"/>
    <s v="Failed"/>
    <x v="2"/>
    <s v="knjuguna(Kamau Njuguna)"/>
    <x v="1"/>
    <s v="Executed"/>
    <x v="0"/>
    <s v="U1300 R6.4 - NIC3 - FWU meter firmware upgrade - (seedingpercent) percent seeded - Interrupted"/>
  </r>
  <r>
    <n v="38"/>
    <x v="0"/>
    <s v="U1300 R6.4 - NIC3"/>
    <s v="007 - Meter Firmware"/>
    <s v="Meter firmware audit"/>
    <x v="0"/>
    <s v=" "/>
    <d v="2024-09-20T00:00:00"/>
    <d v="1899-12-30T13:19:46"/>
    <s v="Passed"/>
    <x v="1"/>
    <s v="knjuguna(Kamau Njuguna)"/>
    <x v="1"/>
    <s v="Executed"/>
    <x v="0"/>
    <s v="U1300 R6.4 - NIC3 - Meter firmware audit"/>
  </r>
  <r>
    <n v="39"/>
    <x v="0"/>
    <s v="U3400 R6.4 - NIC5"/>
    <s v="007 - Meter Firmware"/>
    <s v="FWU meter firmware upgrade - (seedingpercent) percent seeded - Uninterrupted"/>
    <x v="0"/>
    <s v=" "/>
    <d v="2024-10-08T00:00:00"/>
    <d v="1899-12-30T10:11:46"/>
    <s v="Failed"/>
    <x v="2"/>
    <s v="mkalra(Manoj Kalra)"/>
    <x v="0"/>
    <s v="Executed"/>
    <x v="0"/>
    <s v="U3400 R6.4 - NIC5 - FWU meter firmware upgrade - (seedingpercent) percent seeded - Uninterrupted"/>
  </r>
  <r>
    <n v="1703"/>
    <x v="0"/>
    <s v="U3400 R6.4 - NIC5"/>
    <s v="007 - Meter Firmware"/>
    <s v="FWU meter firmware upgrade - (seedingpercent) percent seeded - Interrupted"/>
    <x v="0"/>
    <s v="This Test is performed on U1300 meter"/>
    <d v="2024-10-15T00:00:00"/>
    <d v="1899-12-30T10:45:37"/>
    <s v="Failed"/>
    <x v="0"/>
    <s v="mkalra(Manoj Kalra)"/>
    <x v="0"/>
    <s v="RBT"/>
    <x v="0"/>
    <s v="U3400 R6.4 - NIC5 - FWU meter firmware upgrade - (seedingpercent) percent seeded - Interrupted"/>
  </r>
  <r>
    <n v="38"/>
    <x v="0"/>
    <s v="U3400 R6.4 - NIC5"/>
    <s v="007 - Meter Firmware"/>
    <s v="Meter firmware audit"/>
    <x v="0"/>
    <s v=" "/>
    <d v="2024-10-04T00:00:00"/>
    <d v="1899-12-30T09:11:26"/>
    <s v="Passed"/>
    <x v="1"/>
    <s v="mkalra(Manoj Kalra)"/>
    <x v="0"/>
    <s v="Executed"/>
    <x v="0"/>
    <s v="U3400 R6.4 - NIC5 - Meter firmware audit"/>
  </r>
  <r>
    <n v="39"/>
    <x v="0"/>
    <s v="U1300 R6.4 - NIC5"/>
    <s v="007 - Meter Firmware"/>
    <s v="FWU meter firmware upgrade - (seedingpercent) percent seeded - Uninterrupted"/>
    <x v="0"/>
    <s v=" "/>
    <d v="2024-09-20T00:00:00"/>
    <d v="1899-12-30T11:21:00"/>
    <s v="Failed"/>
    <x v="2"/>
    <s v="knjuguna(Kamau Njuguna)"/>
    <x v="1"/>
    <s v="Executed"/>
    <x v="0"/>
    <s v="U1300 R6.4 - NIC5 - FWU meter firmware upgrade - (seedingpercent) percent seeded - Uninterrupted"/>
  </r>
  <r>
    <n v="1703"/>
    <x v="0"/>
    <s v="U1300 R6.4 - NIC5"/>
    <s v="007 - Meter Firmware"/>
    <s v="FWU meter firmware upgrade - (seedingpercent) percent seeded - Interrupted"/>
    <x v="0"/>
    <s v="NIC320 meter has been tested"/>
    <d v="2024-10-15T00:00:00"/>
    <d v="1899-12-30T11:51:33"/>
    <s v="Failed"/>
    <x v="0"/>
    <s v="knjuguna(Kamau Njuguna)"/>
    <x v="1"/>
    <s v="RBT"/>
    <x v="0"/>
    <s v="U1300 R6.4 - NIC5 - FWU meter firmware upgrade - (seedingpercent) percent seeded - Interrupted"/>
  </r>
  <r>
    <n v="38"/>
    <x v="0"/>
    <s v="U1300 R6.4 - NIC5"/>
    <s v="007 - Meter Firmware"/>
    <s v="Meter firmware audit"/>
    <x v="0"/>
    <s v=" "/>
    <d v="2024-09-20T00:00:00"/>
    <d v="1899-12-30T15:01:17"/>
    <s v="Passed"/>
    <x v="1"/>
    <s v="knjuguna(Kamau Njuguna)"/>
    <x v="1"/>
    <s v="Executed"/>
    <x v="0"/>
    <s v="U1300 R6.4 - NIC5 - Meter firmware audit"/>
  </r>
  <r>
    <n v="41"/>
    <x v="0"/>
    <s v="U3400 R6.4 - NIC3"/>
    <s v="008 - Meter Program"/>
    <s v="Meter Program -  Remote 1 - Load a full meter program (New Meter Program in UIQ)"/>
    <x v="0"/>
    <s v=" "/>
    <d v="2024-10-07T00:00:00"/>
    <d v="1899-12-30T15:36:34"/>
    <s v="Not Completed"/>
    <x v="1"/>
    <s v="mkalra(Manoj Kalra)"/>
    <x v="0"/>
    <s v="Executed"/>
    <x v="0"/>
    <s v="U3400 R6.4 - NIC3 - Meter Program -  Remote 1 - Load a full meter program (New Meter Program in UIQ)"/>
  </r>
  <r>
    <n v="42"/>
    <x v="0"/>
    <s v="U3400 R6.4 - NIC3"/>
    <s v="008 - Meter Program"/>
    <s v="Meter Program -  Remote 4 - Load a full meter program (Meter Program exists in UIQ)"/>
    <x v="0"/>
    <s v=" "/>
    <d v="2024-10-08T00:00:00"/>
    <d v="1899-12-30T17:48:59"/>
    <s v="Passed"/>
    <x v="1"/>
    <s v="mkalra(Manoj Kalra)"/>
    <x v="0"/>
    <s v="Executed"/>
    <x v="0"/>
    <s v="U3400 R6.4 - NIC3 - Meter Program -  Remote 4 - Load a full meter program (Meter Program exists in UIQ)"/>
  </r>
  <r>
    <n v="61"/>
    <x v="0"/>
    <s v="U3400 R6.4 - NIC3"/>
    <s v="008 - Meter Program"/>
    <s v="Meter Program -  export events"/>
    <x v="0"/>
    <s v=" "/>
    <d v="2024-09-30T00:00:00"/>
    <d v="1899-12-30T13:45:39"/>
    <s v="Not Completed"/>
    <x v="1"/>
    <s v="mkalra(Manoj Kalra)"/>
    <x v="0"/>
    <s v="Executed"/>
    <x v="0"/>
    <s v="U3400 R6.4 - NIC3 - Meter Program -  export events"/>
  </r>
  <r>
    <n v="40"/>
    <x v="0"/>
    <s v="U3400 R6.4 - NIC3"/>
    <s v="008 - Meter Program"/>
    <s v="Meter program audit"/>
    <x v="0"/>
    <s v=" "/>
    <d v="2024-10-07T00:00:00"/>
    <d v="1899-12-30T16:00:21"/>
    <s v="Passed"/>
    <x v="1"/>
    <s v="mkalra(Manoj Kalra)"/>
    <x v="0"/>
    <s v="Executed"/>
    <x v="0"/>
    <s v="U3400 R6.4 - NIC3 - Meter program audit"/>
  </r>
  <r>
    <n v="41"/>
    <x v="0"/>
    <s v="U1300 R6.4 - NIC3"/>
    <s v="008 - Meter Program"/>
    <s v="Meter Program -  Remote 1 - Load a full meter program (New Meter Program in UIQ)"/>
    <x v="0"/>
    <s v=" "/>
    <d v="2024-10-03T00:00:00"/>
    <d v="1899-12-30T14:48:56"/>
    <s v="Not Completed"/>
    <x v="2"/>
    <s v="knjuguna(Kamau Njuguna)"/>
    <x v="1"/>
    <s v="Executed"/>
    <x v="0"/>
    <s v="U1300 R6.4 - NIC3 - Meter Program -  Remote 1 - Load a full meter program (New Meter Program in UIQ)"/>
  </r>
  <r>
    <n v="42"/>
    <x v="0"/>
    <s v="U1300 R6.4 - NIC3"/>
    <s v="008 - Meter Program"/>
    <s v="Meter Program -  Remote 4 - Load a full meter program (Meter Program exists in UIQ)"/>
    <x v="0"/>
    <s v=" "/>
    <d v="2024-10-03T00:00:00"/>
    <d v="1899-12-30T15:58:35"/>
    <s v="Passed"/>
    <x v="2"/>
    <s v="knjuguna(Kamau Njuguna)"/>
    <x v="1"/>
    <s v="Executed"/>
    <x v="0"/>
    <s v="U1300 R6.4 - NIC3 - Meter Program -  Remote 4 - Load a full meter program (Meter Program exists in UIQ)"/>
  </r>
  <r>
    <n v="61"/>
    <x v="0"/>
    <s v="U1300 R6.4 - NIC3"/>
    <s v="008 - Meter Program"/>
    <s v="Meter Program -  export events"/>
    <x v="0"/>
    <s v=" "/>
    <d v="2024-10-14T00:00:00"/>
    <d v="1899-12-30T13:38:35"/>
    <s v="Not Completed"/>
    <x v="3"/>
    <s v="knjuguna(Kamau Njuguna)"/>
    <x v="1"/>
    <s v="Executed"/>
    <x v="1"/>
    <s v="U1300 R6.4 - NIC3 - Meter Program -  export events"/>
  </r>
  <r>
    <n v="40"/>
    <x v="0"/>
    <s v="U1300 R6.4 - NIC3"/>
    <s v="008 - Meter Program"/>
    <s v="Meter program audit"/>
    <x v="0"/>
    <s v=" "/>
    <d v="2024-10-01T00:00:00"/>
    <d v="1899-12-30T16:41:49"/>
    <s v="Passed"/>
    <x v="2"/>
    <s v="knjuguna(Kamau Njuguna)"/>
    <x v="1"/>
    <s v="Executed"/>
    <x v="0"/>
    <s v="U1300 R6.4 - NIC3 - Meter program audit"/>
  </r>
  <r>
    <n v="41"/>
    <x v="0"/>
    <s v="U3400 R6.4 - NIC5"/>
    <s v="008 - Meter Program"/>
    <s v="Meter Program -  Remote 1 - Load a full meter program (New Meter Program in UIQ)"/>
    <x v="0"/>
    <s v=" "/>
    <d v="2024-10-07T00:00:00"/>
    <d v="1899-12-30T15:07:21"/>
    <s v="Not Completed"/>
    <x v="1"/>
    <s v="mkalra(Manoj Kalra)"/>
    <x v="0"/>
    <s v="Executed"/>
    <x v="0"/>
    <s v="U3400 R6.4 - NIC5 - Meter Program -  Remote 1 - Load a full meter program (New Meter Program in UIQ)"/>
  </r>
  <r>
    <n v="42"/>
    <x v="0"/>
    <s v="U3400 R6.4 - NIC5"/>
    <s v="008 - Meter Program"/>
    <s v="Meter Program -  Remote 4 - Load a full meter program (Meter Program exists in UIQ)"/>
    <x v="0"/>
    <s v=" "/>
    <d v="2024-10-08T00:00:00"/>
    <d v="1899-12-30T17:49:01"/>
    <s v="Passed"/>
    <x v="1"/>
    <s v="mkalra(Manoj Kalra)"/>
    <x v="0"/>
    <s v="Executed"/>
    <x v="0"/>
    <s v="U3400 R6.4 - NIC5 - Meter Program -  Remote 4 - Load a full meter program (Meter Program exists in UIQ)"/>
  </r>
  <r>
    <n v="61"/>
    <x v="0"/>
    <s v="U3400 R6.4 - NIC5"/>
    <s v="008 - Meter Program"/>
    <s v="Meter Program -  export events"/>
    <x v="0"/>
    <s v=" "/>
    <d v="2024-09-30T00:00:00"/>
    <d v="1899-12-30T13:34:27"/>
    <s v="Not Completed"/>
    <x v="1"/>
    <s v="mkalra(Manoj Kalra)"/>
    <x v="0"/>
    <s v="Executed"/>
    <x v="0"/>
    <s v="U3400 R6.4 - NIC5 - Meter Program -  export events"/>
  </r>
  <r>
    <n v="40"/>
    <x v="0"/>
    <s v="U3400 R6.4 - NIC5"/>
    <s v="008 - Meter Program"/>
    <s v="Meter program audit"/>
    <x v="0"/>
    <s v=" "/>
    <d v="2024-10-07T00:00:00"/>
    <d v="1899-12-30T16:00:18"/>
    <s v="Passed"/>
    <x v="1"/>
    <s v="mkalra(Manoj Kalra)"/>
    <x v="0"/>
    <s v="Executed"/>
    <x v="0"/>
    <s v="U3400 R6.4 - NIC5 - Meter program audit"/>
  </r>
  <r>
    <n v="41"/>
    <x v="0"/>
    <s v="U1300 R6.4 - NIC5"/>
    <s v="008 - Meter Program"/>
    <s v="Meter Program -  Remote 1 - Load a full meter program (New Meter Program in UIQ)"/>
    <x v="0"/>
    <s v=" "/>
    <d v="2024-10-03T00:00:00"/>
    <d v="1899-12-30T14:40:54"/>
    <s v="Not Completed"/>
    <x v="2"/>
    <s v="knjuguna(Kamau Njuguna)"/>
    <x v="1"/>
    <s v="Executed"/>
    <x v="0"/>
    <s v="U1300 R6.4 - NIC5 - Meter Program -  Remote 1 - Load a full meter program (New Meter Program in UIQ)"/>
  </r>
  <r>
    <n v="42"/>
    <x v="0"/>
    <s v="U1300 R6.4 - NIC5"/>
    <s v="008 - Meter Program"/>
    <s v="Meter Program -  Remote 4 - Load a full meter program (Meter Program exists in UIQ)"/>
    <x v="0"/>
    <s v=" "/>
    <d v="2024-10-03T00:00:00"/>
    <d v="1899-12-30T16:31:50"/>
    <s v="Passed"/>
    <x v="2"/>
    <s v="knjuguna(Kamau Njuguna)"/>
    <x v="1"/>
    <s v="Executed"/>
    <x v="0"/>
    <s v="U1300 R6.4 - NIC5 - Meter Program -  Remote 4 - Load a full meter program (Meter Program exists in UIQ)"/>
  </r>
  <r>
    <n v="61"/>
    <x v="0"/>
    <s v="U1300 R6.4 - NIC5"/>
    <s v="008 - Meter Program"/>
    <s v="Meter Program -  export events"/>
    <x v="0"/>
    <s v=" "/>
    <d v="2024-10-15T00:00:00"/>
    <d v="1899-12-30T15:42:55"/>
    <s v="Not Completed"/>
    <x v="3"/>
    <s v="knjuguna(Kamau Njuguna)"/>
    <x v="1"/>
    <s v="Executed"/>
    <x v="1"/>
    <s v="U1300 R6.4 - NIC5 - Meter Program -  export events"/>
  </r>
  <r>
    <n v="40"/>
    <x v="0"/>
    <s v="U1300 R6.4 - NIC5"/>
    <s v="008 - Meter Program"/>
    <s v="Meter program audit"/>
    <x v="0"/>
    <s v=" "/>
    <d v="2024-10-01T00:00:00"/>
    <d v="1899-12-30T16:43:43"/>
    <s v="Passed"/>
    <x v="2"/>
    <s v="knjuguna(Kamau Njuguna)"/>
    <x v="1"/>
    <s v="Executed"/>
    <x v="0"/>
    <s v="U1300 R6.4 - NIC5 - Meter program audit"/>
  </r>
  <r>
    <n v="141"/>
    <x v="0"/>
    <s v="U3400 R6.4 - NIC5"/>
    <s v="008 - Meter Program"/>
    <s v="Meter Program -  NIC program seal"/>
    <x v="0"/>
    <s v=" "/>
    <d v="2024-09-30T00:00:00"/>
    <d v="1899-12-30T10:32:25"/>
    <s v="Passed"/>
    <x v="1"/>
    <s v="mkalra(Manoj Kalra)"/>
    <x v="0"/>
    <s v="Executed"/>
    <x v="0"/>
    <s v="U3400 R6.4 - NIC5 - Meter Program -  NIC program seal"/>
  </r>
  <r>
    <n v="141"/>
    <x v="0"/>
    <s v="U1300 R6.4 - NIC3"/>
    <s v="008 - Meter Program"/>
    <s v="Meter Program -  NIC program seal"/>
    <x v="0"/>
    <s v=" "/>
    <d v="2024-10-09T00:00:00"/>
    <d v="1899-12-30T15:55:26"/>
    <s v="Passed"/>
    <x v="1"/>
    <s v="knjuguna(Kamau Njuguna)"/>
    <x v="1"/>
    <s v="Executed"/>
    <x v="0"/>
    <s v="U1300 R6.4 - NIC3 - Meter Program -  NIC program seal"/>
  </r>
  <r>
    <n v="141"/>
    <x v="0"/>
    <s v="U1300 R6.4 - NIC5"/>
    <s v="008 - Meter Program"/>
    <s v="Meter Program -  NIC program seal"/>
    <x v="0"/>
    <s v=" "/>
    <d v="2024-10-09T00:00:00"/>
    <d v="1899-12-30T16:00:15"/>
    <s v="Passed"/>
    <x v="1"/>
    <s v="knjuguna(Kamau Njuguna)"/>
    <x v="1"/>
    <s v="Executed"/>
    <x v="0"/>
    <s v="U1300 R6.4 - NIC5 - Meter Program -  NIC program seal"/>
  </r>
  <r>
    <n v="141"/>
    <x v="0"/>
    <s v="U3400 R6.4 - NIC3"/>
    <s v="008 - Meter Program"/>
    <s v="Meter Program -  NIC program seal"/>
    <x v="0"/>
    <s v=" "/>
    <d v="2024-09-30T00:00:00"/>
    <d v="1899-12-30T10:32:21"/>
    <s v="Passed"/>
    <x v="1"/>
    <s v="mkalra(Manoj Kalra)"/>
    <x v="0"/>
    <s v="Executed"/>
    <x v="0"/>
    <s v="U3400 R6.4 - NIC3 - Meter Program -  NIC program seal"/>
  </r>
  <r>
    <n v="140"/>
    <x v="0"/>
    <s v="U3400 R6.4 - NIC5"/>
    <s v="008 - Meter Program"/>
    <s v="Meter Program -  Partial programming (Remote)"/>
    <x v="0"/>
    <s v=" "/>
    <d v="2024-09-24T00:00:00"/>
    <d v="1899-12-30T17:17:01"/>
    <s v="RBT"/>
    <x v="0"/>
    <s v="mkalra(Manoj Kalra)"/>
    <x v="0"/>
    <s v="RBT"/>
    <x v="0"/>
    <s v="U3400 R6.4 - NIC5 - Meter Program -  Partial programming (Remote)"/>
  </r>
  <r>
    <n v="140"/>
    <x v="0"/>
    <s v="U3400 R6.4 - NIC3"/>
    <s v="008 - Meter Program"/>
    <s v="Meter Program -  Partial programming (Remote)"/>
    <x v="0"/>
    <s v=" "/>
    <d v="2024-09-24T00:00:00"/>
    <d v="1899-12-30T17:16:10"/>
    <s v="RBT"/>
    <x v="0"/>
    <s v="mkalra(Manoj Kalra)"/>
    <x v="0"/>
    <s v="RBT"/>
    <x v="0"/>
    <s v="U3400 R6.4 - NIC3 - Meter Program -  Partial programming (Remote)"/>
  </r>
  <r>
    <n v="140"/>
    <x v="0"/>
    <s v="U1300 R6.4 - NIC5"/>
    <s v="008 - Meter Program"/>
    <s v="Meter Program -  Partial programming (Remote)"/>
    <x v="0"/>
    <s v=" "/>
    <d v="2024-09-24T00:00:00"/>
    <d v="1899-12-30T17:14:49"/>
    <s v="RBT"/>
    <x v="0"/>
    <s v="mkalra(Manoj Kalra)"/>
    <x v="1"/>
    <s v="RBT"/>
    <x v="0"/>
    <s v="U1300 R6.4 - NIC5 - Meter Program -  Partial programming (Remote)"/>
  </r>
  <r>
    <n v="140"/>
    <x v="0"/>
    <s v="U1300 R6.4 - NIC3"/>
    <s v="008 - Meter Program"/>
    <s v="Meter Program -  Partial programming (Remote)"/>
    <x v="0"/>
    <s v=" "/>
    <d v="2024-09-24T00:00:00"/>
    <d v="1899-12-30T17:14:19"/>
    <s v="RBT"/>
    <x v="0"/>
    <s v="mkalra(Manoj Kalra)"/>
    <x v="1"/>
    <s v="RBT"/>
    <x v="0"/>
    <s v="U1300 R6.4 - NIC3 - Meter Program -  Partial programming (Remote)"/>
  </r>
  <r>
    <n v="1770"/>
    <x v="0"/>
    <s v="U1300 R6.4 - NIC3"/>
    <s v="008A - Meter Program Tests"/>
    <s v="L&amp;G_LP_Enable"/>
    <x v="2"/>
    <s v=" "/>
    <d v="2024-10-10T00:00:00"/>
    <d v="1899-12-30T16:00:22"/>
    <s v="Not Completed"/>
    <x v="1"/>
    <s v="knjuguna(Kamau Njuguna)"/>
    <x v="1"/>
    <s v="Executed"/>
    <x v="0"/>
    <s v="U1300 R6.4 - NIC3 - L&amp;G_LP_Enable"/>
  </r>
  <r>
    <n v="1770"/>
    <x v="0"/>
    <s v="U1300 R6.4 - NIC5"/>
    <s v="008A - Meter Program Tests"/>
    <s v="L&amp;G_LP_Enable"/>
    <x v="2"/>
    <s v=" "/>
    <d v="2024-10-10T00:00:00"/>
    <d v="1899-12-30T16:00:35"/>
    <s v="Not Completed"/>
    <x v="1"/>
    <s v="knjuguna(Kamau Njuguna)"/>
    <x v="1"/>
    <s v="Executed"/>
    <x v="0"/>
    <s v="U1300 R6.4 - NIC5 - L&amp;G_LP_Enable"/>
  </r>
  <r>
    <n v="1770"/>
    <x v="0"/>
    <s v="U3400 R6.4 - NIC3"/>
    <s v="008A - Meter Program Tests"/>
    <s v="L&amp;G_LP_Enable"/>
    <x v="2"/>
    <s v=" "/>
    <d v="2024-10-14T00:00:00"/>
    <d v="1899-12-30T16:17:10"/>
    <s v="Not Completed"/>
    <x v="1"/>
    <s v="mkalra(Manoj Kalra)"/>
    <x v="0"/>
    <s v="Executed"/>
    <x v="0"/>
    <s v="U3400 R6.4 - NIC3 - L&amp;G_LP_Enable"/>
  </r>
  <r>
    <n v="1770"/>
    <x v="0"/>
    <s v="U3400 R6.4 - NIC5"/>
    <s v="008A - Meter Program Tests"/>
    <s v="L&amp;G_LP_Enable"/>
    <x v="2"/>
    <s v=" "/>
    <d v="2024-09-26T00:00:00"/>
    <d v="1899-12-30T14:17:00"/>
    <s v="Not Completed"/>
    <x v="1"/>
    <s v="mkalra(Manoj Kalra)"/>
    <x v="0"/>
    <s v="Executed"/>
    <x v="0"/>
    <s v="U3400 R6.4 - NIC5 - L&amp;G_LP_Enable"/>
  </r>
  <r>
    <n v="111"/>
    <x v="0"/>
    <s v="U3400 R6.4 - NIC3"/>
    <s v="009 - Metrology"/>
    <s v="Meter Accuracy"/>
    <x v="0"/>
    <s v="Report from L&amp;G is used for this test."/>
    <d v="2024-10-14T00:00:00"/>
    <d v="1899-12-30T10:58:19"/>
    <s v="Deferred"/>
    <x v="4"/>
    <s v="mkalra(Manoj Kalra)"/>
    <x v="0"/>
    <s v="Executed"/>
    <x v="2"/>
    <s v="U3400 R6.4 - NIC3 - Meter Accuracy"/>
  </r>
  <r>
    <n v="1709"/>
    <x v="0"/>
    <s v="U3400 R6.4 - NIC3"/>
    <s v="009 - Metrology"/>
    <s v="Meter Data Integrity - Meter to UIQ (Full)"/>
    <x v="0"/>
    <s v=" "/>
    <d v="2024-10-11T00:00:00"/>
    <d v="1899-12-30T14:50:14"/>
    <s v="Passed"/>
    <x v="1"/>
    <s v="mkalra(Manoj Kalra)"/>
    <x v="0"/>
    <s v="Executed"/>
    <x v="0"/>
    <s v="U3400 R6.4 - NIC3 - Meter Data Integrity - Meter to UIQ (Full)"/>
  </r>
  <r>
    <n v="66"/>
    <x v="0"/>
    <s v="U3400 R6.4 - NIC3"/>
    <s v="009 - Metrology"/>
    <s v="AMM - On Demand Read - C1219 Read"/>
    <x v="0"/>
    <s v=" "/>
    <d v="2024-09-25T00:00:00"/>
    <d v="1899-12-30T14:02:41"/>
    <s v="Passed"/>
    <x v="1"/>
    <s v="mkalra(Manoj Kalra)"/>
    <x v="0"/>
    <s v="Executed"/>
    <x v="0"/>
    <s v="U3400 R6.4 - NIC3 - AMM - On Demand Read - C1219 Read"/>
  </r>
  <r>
    <n v="63"/>
    <x v="0"/>
    <s v="U3400 R6.4 - NIC3"/>
    <s v="009 - Metrology"/>
    <s v="AMM - On Demand Read - Interval"/>
    <x v="0"/>
    <s v=" "/>
    <d v="2024-09-25T00:00:00"/>
    <d v="1899-12-30T14:15:11"/>
    <s v="Passed"/>
    <x v="1"/>
    <s v="mkalra(Manoj Kalra)"/>
    <x v="0"/>
    <s v="Executed"/>
    <x v="0"/>
    <s v="U3400 R6.4 - NIC3 - AMM - On Demand Read - Interval"/>
  </r>
  <r>
    <n v="62"/>
    <x v="0"/>
    <s v="U3400 R6.4 - NIC3"/>
    <s v="009 - Metrology"/>
    <s v="AMM - On Demand Read - New Data"/>
    <x v="0"/>
    <s v=" "/>
    <d v="2024-09-25T00:00:00"/>
    <d v="1899-12-30T15:53:04"/>
    <s v="Passed"/>
    <x v="1"/>
    <s v="mkalra(Manoj Kalra)"/>
    <x v="0"/>
    <s v="Executed"/>
    <x v="0"/>
    <s v="U3400 R6.4 - NIC3 - AMM - On Demand Read - New Data"/>
  </r>
  <r>
    <n v="64"/>
    <x v="0"/>
    <s v="U3400 R6.4 - NIC3"/>
    <s v="009 - Metrology"/>
    <s v="AMM - On Demand Read - Register"/>
    <x v="0"/>
    <s v=" "/>
    <d v="2024-09-25T00:00:00"/>
    <d v="1899-12-30T17:08:37"/>
    <s v="Passed"/>
    <x v="1"/>
    <s v="mkalra(Manoj Kalra)"/>
    <x v="0"/>
    <s v="Executed"/>
    <x v="0"/>
    <s v="U3400 R6.4 - NIC3 - AMM - On Demand Read - Register"/>
  </r>
  <r>
    <n v="65"/>
    <x v="0"/>
    <s v="U3400 R6.4 - NIC3"/>
    <s v="009 - Metrology"/>
    <s v="AMM - On Demand Read - Stored Self Read"/>
    <x v="0"/>
    <s v=" "/>
    <d v="2024-09-26T00:00:00"/>
    <d v="1899-12-30T10:32:35"/>
    <s v="Passed"/>
    <x v="1"/>
    <s v="mkalra(Manoj Kalra)"/>
    <x v="0"/>
    <s v="Executed"/>
    <x v="0"/>
    <s v="U3400 R6.4 - NIC3 - AMM - On Demand Read - Stored Self Read"/>
  </r>
  <r>
    <n v="59"/>
    <x v="0"/>
    <s v="U3400 R6.4 - NIC3"/>
    <s v="009 - Metrology"/>
    <s v="Meter Data Integrity -  AMM export"/>
    <x v="0"/>
    <s v=" "/>
    <d v="2024-10-14T00:00:00"/>
    <d v="1899-12-30T12:52:56"/>
    <s v="Passed"/>
    <x v="1"/>
    <s v="mkalra(Manoj Kalra)"/>
    <x v="0"/>
    <s v="Executed"/>
    <x v="0"/>
    <s v="U3400 R6.4 - NIC3 - Meter Data Integrity -  AMM export"/>
  </r>
  <r>
    <n v="58"/>
    <x v="0"/>
    <s v="U3400 R6.4 - NIC3"/>
    <s v="009 - Metrology"/>
    <s v="Meter Data Integrity -  EBQK"/>
    <x v="0"/>
    <s v="MOG group will be doing this test for R64"/>
    <d v="2024-10-15T00:00:00"/>
    <d v="1899-12-30T11:02:40"/>
    <s v="RBT"/>
    <x v="0"/>
    <s v="mkalra(Manoj Kalra)"/>
    <x v="0"/>
    <s v="RBT"/>
    <x v="0"/>
    <s v="U3400 R6.4 - NIC3 - Meter Data Integrity -  EBQK"/>
  </r>
  <r>
    <n v="111"/>
    <x v="0"/>
    <s v="U1300 R6.4 - NIC3"/>
    <s v="009 - Metrology"/>
    <s v="Meter Accuracy"/>
    <x v="0"/>
    <s v=" "/>
    <d v="2024-10-16T00:00:00"/>
    <d v="1899-12-30T15:37:48"/>
    <s v="Deferred"/>
    <x v="3"/>
    <s v="knjuguna(Kamau Njuguna)"/>
    <x v="1"/>
    <s v="Executed"/>
    <x v="1"/>
    <s v="U1300 R6.4 - NIC3 - Meter Accuracy"/>
  </r>
  <r>
    <n v="1709"/>
    <x v="0"/>
    <s v="U1300 R6.4 - NIC3"/>
    <s v="009 - Metrology"/>
    <s v="Meter Data Integrity - Meter to UIQ (Full)"/>
    <x v="0"/>
    <s v=" "/>
    <d v="2024-10-01T00:00:00"/>
    <d v="1899-12-30T13:51:42"/>
    <s v="Passed"/>
    <x v="1"/>
    <s v="knjuguna(Kamau Njuguna)"/>
    <x v="1"/>
    <s v="Executed"/>
    <x v="0"/>
    <s v="U1300 R6.4 - NIC3 - Meter Data Integrity - Meter to UIQ (Full)"/>
  </r>
  <r>
    <n v="66"/>
    <x v="0"/>
    <s v="U1300 R6.4 - NIC3"/>
    <s v="009 - Metrology"/>
    <s v="AMM - On Demand Read - C1219 Read"/>
    <x v="0"/>
    <s v=" "/>
    <d v="2024-09-24T00:00:00"/>
    <d v="1899-12-30T08:37:39"/>
    <s v="Passed"/>
    <x v="1"/>
    <s v="knjuguna(Kamau Njuguna)"/>
    <x v="1"/>
    <s v="Executed"/>
    <x v="0"/>
    <s v="U1300 R6.4 - NIC3 - AMM - On Demand Read - C1219 Read"/>
  </r>
  <r>
    <n v="63"/>
    <x v="0"/>
    <s v="U1300 R6.4 - NIC3"/>
    <s v="009 - Metrology"/>
    <s v="AMM - On Demand Read - Interval"/>
    <x v="0"/>
    <s v=" "/>
    <d v="2024-09-24T00:00:00"/>
    <d v="1899-12-30T08:42:20"/>
    <s v="Passed"/>
    <x v="1"/>
    <s v="knjuguna(Kamau Njuguna)"/>
    <x v="1"/>
    <s v="Executed"/>
    <x v="0"/>
    <s v="U1300 R6.4 - NIC3 - AMM - On Demand Read - Interval"/>
  </r>
  <r>
    <n v="62"/>
    <x v="0"/>
    <s v="U1300 R6.4 - NIC3"/>
    <s v="009 - Metrology"/>
    <s v="AMM - On Demand Read - New Data"/>
    <x v="0"/>
    <s v=" "/>
    <d v="2024-09-24T00:00:00"/>
    <d v="1899-12-30T09:14:33"/>
    <s v="Passed"/>
    <x v="1"/>
    <s v="knjuguna(Kamau Njuguna)"/>
    <x v="1"/>
    <s v="Executed"/>
    <x v="0"/>
    <s v="U1300 R6.4 - NIC3 - AMM - On Demand Read - New Data"/>
  </r>
  <r>
    <n v="64"/>
    <x v="0"/>
    <s v="U1300 R6.4 - NIC3"/>
    <s v="009 - Metrology"/>
    <s v="AMM - On Demand Read - Register"/>
    <x v="0"/>
    <s v=" "/>
    <d v="2024-09-24T00:00:00"/>
    <d v="1899-12-30T09:21:47"/>
    <s v="Passed"/>
    <x v="1"/>
    <s v="knjuguna(Kamau Njuguna)"/>
    <x v="1"/>
    <s v="Executed"/>
    <x v="0"/>
    <s v="U1300 R6.4 - NIC3 - AMM - On Demand Read - Register"/>
  </r>
  <r>
    <n v="65"/>
    <x v="0"/>
    <s v="U1300 R6.4 - NIC3"/>
    <s v="009 - Metrology"/>
    <s v="AMM - On Demand Read - Stored Self Read"/>
    <x v="0"/>
    <s v=" "/>
    <d v="2024-09-24T00:00:00"/>
    <d v="1899-12-30T10:16:12"/>
    <s v="Passed"/>
    <x v="1"/>
    <s v="knjuguna(Kamau Njuguna)"/>
    <x v="1"/>
    <s v="Executed"/>
    <x v="0"/>
    <s v="U1300 R6.4 - NIC3 - AMM - On Demand Read - Stored Self Read"/>
  </r>
  <r>
    <n v="59"/>
    <x v="0"/>
    <s v="U1300 R6.4 - NIC3"/>
    <s v="009 - Metrology"/>
    <s v="Meter Data Integrity -  AMM export"/>
    <x v="0"/>
    <s v=" "/>
    <d v="2024-10-07T00:00:00"/>
    <d v="1899-12-30T10:39:19"/>
    <s v="Passed"/>
    <x v="1"/>
    <s v="knjuguna(Kamau Njuguna)"/>
    <x v="1"/>
    <s v="Executed"/>
    <x v="0"/>
    <s v="U1300 R6.4 - NIC3 - Meter Data Integrity -  AMM export"/>
  </r>
  <r>
    <n v="58"/>
    <x v="0"/>
    <s v="U1300 R6.4 - NIC3"/>
    <s v="009 - Metrology"/>
    <s v="Meter Data Integrity -  EBQK"/>
    <x v="0"/>
    <s v="To be covered under meter accuracy test"/>
    <d v="2024-10-15T00:00:00"/>
    <d v="1899-12-30T11:55:24"/>
    <s v="RBT"/>
    <x v="0"/>
    <s v="knjuguna(Kamau Njuguna)"/>
    <x v="1"/>
    <s v="RBT"/>
    <x v="0"/>
    <s v="U1300 R6.4 - NIC3 - Meter Data Integrity -  EBQK"/>
  </r>
  <r>
    <n v="111"/>
    <x v="0"/>
    <s v="U3400 R6.4 - NIC5"/>
    <s v="009 - Metrology"/>
    <s v="Meter Accuracy"/>
    <x v="0"/>
    <s v="Report from L&amp;G is used for this test."/>
    <d v="2024-10-14T00:00:00"/>
    <d v="1899-12-30T10:58:26"/>
    <s v="Deferred"/>
    <x v="4"/>
    <s v="mkalra(Manoj Kalra)"/>
    <x v="0"/>
    <s v="Executed"/>
    <x v="2"/>
    <s v="U3400 R6.4 - NIC5 - Meter Accuracy"/>
  </r>
  <r>
    <n v="1709"/>
    <x v="0"/>
    <s v="U3400 R6.4 - NIC5"/>
    <s v="009 - Metrology"/>
    <s v="Meter Data Integrity - Meter to UIQ (Full)"/>
    <x v="0"/>
    <s v=" "/>
    <d v="2024-10-11T00:00:00"/>
    <d v="1899-12-30T15:02:59"/>
    <s v="Passed"/>
    <x v="1"/>
    <s v="mkalra(Manoj Kalra)"/>
    <x v="0"/>
    <s v="Executed"/>
    <x v="0"/>
    <s v="U3400 R6.4 - NIC5 - Meter Data Integrity - Meter to UIQ (Full)"/>
  </r>
  <r>
    <n v="66"/>
    <x v="0"/>
    <s v="U3400 R6.4 - NIC5"/>
    <s v="009 - Metrology"/>
    <s v="AMM - On Demand Read - C1219 Read"/>
    <x v="0"/>
    <s v=" "/>
    <d v="2024-09-25T00:00:00"/>
    <d v="1899-12-30T14:02:46"/>
    <s v="Passed"/>
    <x v="1"/>
    <s v="mkalra(Manoj Kalra)"/>
    <x v="0"/>
    <s v="Executed"/>
    <x v="0"/>
    <s v="U3400 R6.4 - NIC5 - AMM - On Demand Read - C1219 Read"/>
  </r>
  <r>
    <n v="63"/>
    <x v="0"/>
    <s v="U3400 R6.4 - NIC5"/>
    <s v="009 - Metrology"/>
    <s v="AMM - On Demand Read - Interval"/>
    <x v="0"/>
    <s v=" "/>
    <d v="2024-09-25T00:00:00"/>
    <d v="1899-12-30T14:15:14"/>
    <s v="Passed"/>
    <x v="1"/>
    <s v="mkalra(Manoj Kalra)"/>
    <x v="0"/>
    <s v="Executed"/>
    <x v="0"/>
    <s v="U3400 R6.4 - NIC5 - AMM - On Demand Read - Interval"/>
  </r>
  <r>
    <n v="62"/>
    <x v="0"/>
    <s v="U3400 R6.4 - NIC5"/>
    <s v="009 - Metrology"/>
    <s v="AMM - On Demand Read - New Data"/>
    <x v="0"/>
    <s v=" "/>
    <d v="2024-09-25T00:00:00"/>
    <d v="1899-12-30T15:53:08"/>
    <s v="Passed"/>
    <x v="1"/>
    <s v="mkalra(Manoj Kalra)"/>
    <x v="0"/>
    <s v="Executed"/>
    <x v="0"/>
    <s v="U3400 R6.4 - NIC5 - AMM - On Demand Read - New Data"/>
  </r>
  <r>
    <n v="64"/>
    <x v="0"/>
    <s v="U3400 R6.4 - NIC5"/>
    <s v="009 - Metrology"/>
    <s v="AMM - On Demand Read - Register"/>
    <x v="0"/>
    <s v=" "/>
    <d v="2024-09-25T00:00:00"/>
    <d v="1899-12-30T17:07:16"/>
    <s v="Passed"/>
    <x v="1"/>
    <s v="mkalra(Manoj Kalra)"/>
    <x v="0"/>
    <s v="Executed"/>
    <x v="0"/>
    <s v="U3400 R6.4 - NIC5 - AMM - On Demand Read - Register"/>
  </r>
  <r>
    <n v="65"/>
    <x v="0"/>
    <s v="U3400 R6.4 - NIC5"/>
    <s v="009 - Metrology"/>
    <s v="AMM - On Demand Read - Stored Self Read"/>
    <x v="0"/>
    <s v=" "/>
    <d v="2024-09-26T00:00:00"/>
    <d v="1899-12-30T10:33:47"/>
    <s v="Passed"/>
    <x v="1"/>
    <s v="mkalra(Manoj Kalra)"/>
    <x v="0"/>
    <s v="Executed"/>
    <x v="0"/>
    <s v="U3400 R6.4 - NIC5 - AMM - On Demand Read - Stored Self Read"/>
  </r>
  <r>
    <n v="59"/>
    <x v="0"/>
    <s v="U3400 R6.4 - NIC5"/>
    <s v="009 - Metrology"/>
    <s v="Meter Data Integrity -  AMM export"/>
    <x v="0"/>
    <s v=" "/>
    <d v="2024-10-14T00:00:00"/>
    <d v="1899-12-30T12:34:26"/>
    <s v="Passed"/>
    <x v="1"/>
    <s v="mkalra(Manoj Kalra)"/>
    <x v="0"/>
    <s v="Executed"/>
    <x v="0"/>
    <s v="U3400 R6.4 - NIC5 - Meter Data Integrity -  AMM export"/>
  </r>
  <r>
    <n v="58"/>
    <x v="0"/>
    <s v="U3400 R6.4 - NIC5"/>
    <s v="009 - Metrology"/>
    <s v="Meter Data Integrity -  EBQK"/>
    <x v="0"/>
    <s v="MOG group will be doing this test for R64"/>
    <d v="2024-10-15T00:00:00"/>
    <d v="1899-12-30T10:49:12"/>
    <s v="RBT"/>
    <x v="4"/>
    <s v="mkalra(Manoj Kalra)"/>
    <x v="0"/>
    <s v="Executed"/>
    <x v="2"/>
    <s v="U3400 R6.4 - NIC5 - Meter Data Integrity -  EBQK"/>
  </r>
  <r>
    <n v="111"/>
    <x v="0"/>
    <s v="U1300 R6.4 - NIC5"/>
    <s v="009 - Metrology"/>
    <s v="Meter Accuracy"/>
    <x v="0"/>
    <s v=" "/>
    <d v="2024-10-15T00:00:00"/>
    <d v="1899-12-30T11:53:33"/>
    <s v="Deferred"/>
    <x v="4"/>
    <s v="knjuguna(Kamau Njuguna)"/>
    <x v="1"/>
    <s v="Executed"/>
    <x v="2"/>
    <s v="U1300 R6.4 - NIC5 - Meter Accuracy"/>
  </r>
  <r>
    <n v="1709"/>
    <x v="0"/>
    <s v="U1300 R6.4 - NIC5"/>
    <s v="009 - Metrology"/>
    <s v="Meter Data Integrity - Meter to UIQ (Full)"/>
    <x v="0"/>
    <s v=" "/>
    <d v="2024-10-15T00:00:00"/>
    <d v="1899-12-30T15:21:28"/>
    <s v="Passed"/>
    <x v="1"/>
    <s v="knjuguna(Kamau Njuguna)"/>
    <x v="1"/>
    <s v="Executed"/>
    <x v="0"/>
    <s v="U1300 R6.4 - NIC5 - Meter Data Integrity - Meter to UIQ (Full)"/>
  </r>
  <r>
    <n v="66"/>
    <x v="0"/>
    <s v="U1300 R6.4 - NIC5"/>
    <s v="009 - Metrology"/>
    <s v="AMM - On Demand Read - C1219 Read"/>
    <x v="0"/>
    <s v=" "/>
    <d v="2024-09-30T00:00:00"/>
    <d v="1899-12-30T13:39:18"/>
    <s v="Passed"/>
    <x v="1"/>
    <s v="knjuguna(Kamau Njuguna)"/>
    <x v="1"/>
    <s v="Executed"/>
    <x v="0"/>
    <s v="U1300 R6.4 - NIC5 - AMM - On Demand Read - C1219 Read"/>
  </r>
  <r>
    <n v="63"/>
    <x v="0"/>
    <s v="U1300 R6.4 - NIC5"/>
    <s v="009 - Metrology"/>
    <s v="AMM - On Demand Read - Interval"/>
    <x v="0"/>
    <s v=" "/>
    <d v="2024-09-30T00:00:00"/>
    <d v="1899-12-30T13:45:25"/>
    <s v="Passed"/>
    <x v="1"/>
    <s v="knjuguna(Kamau Njuguna)"/>
    <x v="1"/>
    <s v="Executed"/>
    <x v="0"/>
    <s v="U1300 R6.4 - NIC5 - AMM - On Demand Read - Interval"/>
  </r>
  <r>
    <n v="62"/>
    <x v="0"/>
    <s v="U1300 R6.4 - NIC5"/>
    <s v="009 - Metrology"/>
    <s v="AMM - On Demand Read - New Data"/>
    <x v="0"/>
    <s v=" "/>
    <d v="2024-09-30T00:00:00"/>
    <d v="1899-12-30T14:28:14"/>
    <s v="Passed"/>
    <x v="1"/>
    <s v="knjuguna(Kamau Njuguna)"/>
    <x v="1"/>
    <s v="Executed"/>
    <x v="0"/>
    <s v="U1300 R6.4 - NIC5 - AMM - On Demand Read - New Data"/>
  </r>
  <r>
    <n v="64"/>
    <x v="0"/>
    <s v="U1300 R6.4 - NIC5"/>
    <s v="009 - Metrology"/>
    <s v="AMM - On Demand Read - Register"/>
    <x v="0"/>
    <s v=" "/>
    <d v="2024-09-30T00:00:00"/>
    <d v="1899-12-30T14:29:53"/>
    <s v="Passed"/>
    <x v="1"/>
    <s v="knjuguna(Kamau Njuguna)"/>
    <x v="1"/>
    <s v="Executed"/>
    <x v="0"/>
    <s v="U1300 R6.4 - NIC5 - AMM - On Demand Read - Register"/>
  </r>
  <r>
    <n v="65"/>
    <x v="0"/>
    <s v="U1300 R6.4 - NIC5"/>
    <s v="009 - Metrology"/>
    <s v="AMM - On Demand Read - Stored Self Read"/>
    <x v="0"/>
    <s v=" "/>
    <d v="2024-09-30T00:00:00"/>
    <d v="1899-12-30T14:34:10"/>
    <s v="Passed"/>
    <x v="1"/>
    <s v="knjuguna(Kamau Njuguna)"/>
    <x v="1"/>
    <s v="Executed"/>
    <x v="0"/>
    <s v="U1300 R6.4 - NIC5 - AMM - On Demand Read - Stored Self Read"/>
  </r>
  <r>
    <n v="59"/>
    <x v="0"/>
    <s v="U1300 R6.4 - NIC5"/>
    <s v="009 - Metrology"/>
    <s v="Meter Data Integrity -  AMM export"/>
    <x v="0"/>
    <s v=" "/>
    <d v="2024-10-07T00:00:00"/>
    <d v="1899-12-30T11:14:36"/>
    <s v="Passed"/>
    <x v="1"/>
    <s v="knjuguna(Kamau Njuguna)"/>
    <x v="1"/>
    <s v="Executed"/>
    <x v="0"/>
    <s v="U1300 R6.4 - NIC5 - Meter Data Integrity -  AMM export"/>
  </r>
  <r>
    <n v="58"/>
    <x v="0"/>
    <s v="U1300 R6.4 - NIC5"/>
    <s v="009 - Metrology"/>
    <s v="Meter Data Integrity -  EBQK"/>
    <x v="0"/>
    <s v="Test to be covered under meter accuracy test"/>
    <d v="2024-10-15T00:00:00"/>
    <d v="1899-12-30T11:53:28"/>
    <s v="RBT"/>
    <x v="0"/>
    <s v="knjuguna(Kamau Njuguna)"/>
    <x v="1"/>
    <s v="RBT"/>
    <x v="0"/>
    <s v="U1300 R6.4 - NIC5 - Meter Data Integrity -  EBQK"/>
  </r>
  <r>
    <n v="1710"/>
    <x v="0"/>
    <s v="U1300 R6.4 - NIC3"/>
    <s v="009 - Metrology"/>
    <s v="Meter Data Integrity - Meter to UIQ (Sanity)"/>
    <x v="0"/>
    <s v=" "/>
    <d v="2024-10-10T00:00:00"/>
    <d v="1899-12-30T10:07:57"/>
    <s v="Passed"/>
    <x v="1"/>
    <s v="knjuguna(Kamau Njuguna)"/>
    <x v="1"/>
    <s v="Executed"/>
    <x v="0"/>
    <s v="U1300 R6.4 - NIC3 - Meter Data Integrity - Meter to UIQ (Sanity)"/>
  </r>
  <r>
    <n v="1710"/>
    <x v="0"/>
    <s v="U1300 R6.4 - NIC5"/>
    <s v="009 - Metrology"/>
    <s v="Meter Data Integrity - Meter to UIQ (Sanity)"/>
    <x v="0"/>
    <s v=" "/>
    <d v="2024-10-10T00:00:00"/>
    <d v="1899-12-30T11:31:09"/>
    <s v="Passed"/>
    <x v="1"/>
    <s v="knjuguna(Kamau Njuguna)"/>
    <x v="1"/>
    <s v="Executed"/>
    <x v="0"/>
    <s v="U1300 R6.4 - NIC5 - Meter Data Integrity - Meter to UIQ (Sanity)"/>
  </r>
  <r>
    <n v="1710"/>
    <x v="0"/>
    <s v="U3400 R6.4 - NIC3"/>
    <s v="009 - Metrology"/>
    <s v="Meter Data Integrity - Meter to UIQ (Sanity)"/>
    <x v="0"/>
    <s v=" "/>
    <d v="2024-10-11T00:00:00"/>
    <d v="1899-12-30T12:09:02"/>
    <s v="Passed"/>
    <x v="1"/>
    <s v="mkalra(Manoj Kalra)"/>
    <x v="0"/>
    <s v="Executed"/>
    <x v="0"/>
    <s v="U3400 R6.4 - NIC3 - Meter Data Integrity - Meter to UIQ (Sanity)"/>
  </r>
  <r>
    <n v="1710"/>
    <x v="0"/>
    <s v="U3400 R6.4 - NIC5"/>
    <s v="009 - Metrology"/>
    <s v="Meter Data Integrity - Meter to UIQ (Sanity)"/>
    <x v="0"/>
    <s v=" "/>
    <d v="2024-10-11T00:00:00"/>
    <d v="1899-12-30T12:08:50"/>
    <s v="Passed"/>
    <x v="1"/>
    <s v="mkalra(Manoj Kalra)"/>
    <x v="0"/>
    <s v="Executed"/>
    <x v="0"/>
    <s v="U3400 R6.4 - NIC5 - Meter Data Integrity - Meter to UIQ (Sanity)"/>
  </r>
  <r>
    <n v="33"/>
    <x v="0"/>
    <s v="U1300 R6.4 - NIC3"/>
    <s v="009 - Metrology"/>
    <s v="AMM - On Demand Read - NIC Event Log"/>
    <x v="0"/>
    <s v=" "/>
    <d v="2024-10-09T00:00:00"/>
    <d v="1899-12-30T16:10:58"/>
    <s v="Passed"/>
    <x v="1"/>
    <s v="knjuguna(Kamau Njuguna)"/>
    <x v="1"/>
    <s v="Executed"/>
    <x v="0"/>
    <s v="U1300 R6.4 - NIC3 - AMM - On Demand Read - NIC Event Log"/>
  </r>
  <r>
    <n v="33"/>
    <x v="0"/>
    <s v="U1300 R6.4 - NIC5"/>
    <s v="009 - Metrology"/>
    <s v="AMM - On Demand Read - NIC Event Log"/>
    <x v="0"/>
    <s v=" "/>
    <d v="2024-10-09T00:00:00"/>
    <d v="1899-12-30T16:11:42"/>
    <s v="Passed"/>
    <x v="1"/>
    <s v="knjuguna(Kamau Njuguna)"/>
    <x v="1"/>
    <s v="Executed"/>
    <x v="0"/>
    <s v="U1300 R6.4 - NIC5 - AMM - On Demand Read - NIC Event Log"/>
  </r>
  <r>
    <n v="33"/>
    <x v="0"/>
    <s v="U3400 R6.4 - NIC3"/>
    <s v="009 - Metrology"/>
    <s v="AMM - On Demand Read - NIC Event Log"/>
    <x v="0"/>
    <s v=" "/>
    <d v="2024-09-26T00:00:00"/>
    <d v="1899-12-30T11:03:28"/>
    <s v="Passed"/>
    <x v="1"/>
    <s v="mkalra(Manoj Kalra)"/>
    <x v="0"/>
    <s v="Executed"/>
    <x v="0"/>
    <s v="U3400 R6.4 - NIC3 - AMM - On Demand Read - NIC Event Log"/>
  </r>
  <r>
    <n v="33"/>
    <x v="0"/>
    <s v="U3400 R6.4 - NIC5"/>
    <s v="009 - Metrology"/>
    <s v="AMM - On Demand Read - NIC Event Log"/>
    <x v="0"/>
    <s v=" "/>
    <d v="2024-09-26T00:00:00"/>
    <d v="1899-12-30T11:04:11"/>
    <s v="Passed"/>
    <x v="1"/>
    <s v="mkalra(Manoj Kalra)"/>
    <x v="0"/>
    <s v="Executed"/>
    <x v="0"/>
    <s v="U3400 R6.4 - NIC5 - AMM - On Demand Read - NIC Event Log"/>
  </r>
  <r>
    <n v="60"/>
    <x v="0"/>
    <s v="U1300 R6.4 - NIC3"/>
    <s v="009 - Metrology"/>
    <s v="Meter display -  register resolution"/>
    <x v="2"/>
    <s v=" "/>
    <d v="2024-10-07T00:00:00"/>
    <d v="1899-12-30T16:32:46"/>
    <s v="Passed"/>
    <x v="1"/>
    <s v="knjuguna(Kamau Njuguna)"/>
    <x v="1"/>
    <s v="Executed"/>
    <x v="0"/>
    <s v="U1300 R6.4 - NIC3 - Meter display -  register resolution"/>
  </r>
  <r>
    <n v="60"/>
    <x v="0"/>
    <s v="U1300 R6.4 - NIC5"/>
    <s v="009 - Metrology"/>
    <s v="Meter display -  register resolution"/>
    <x v="2"/>
    <s v=" "/>
    <d v="2024-10-07T00:00:00"/>
    <d v="1899-12-30T16:33:47"/>
    <s v="Passed"/>
    <x v="1"/>
    <s v="knjuguna(Kamau Njuguna)"/>
    <x v="1"/>
    <s v="Executed"/>
    <x v="0"/>
    <s v="U1300 R6.4 - NIC5 - Meter display -  register resolution"/>
  </r>
  <r>
    <n v="60"/>
    <x v="0"/>
    <s v="U3400 R6.4 - NIC3"/>
    <s v="009 - Metrology"/>
    <s v="Meter display -  register resolution"/>
    <x v="2"/>
    <s v=" "/>
    <d v="2024-10-07T00:00:00"/>
    <d v="1899-12-30T12:16:25"/>
    <s v="Passed"/>
    <x v="1"/>
    <s v="mkalra(Manoj Kalra)"/>
    <x v="0"/>
    <s v="Executed"/>
    <x v="0"/>
    <s v="U3400 R6.4 - NIC3 - Meter display -  register resolution"/>
  </r>
  <r>
    <n v="60"/>
    <x v="0"/>
    <s v="U3400 R6.4 - NIC5"/>
    <s v="009 - Metrology"/>
    <s v="Meter display -  register resolution"/>
    <x v="2"/>
    <s v=" "/>
    <d v="2024-10-07T00:00:00"/>
    <d v="1899-12-30T12:15:52"/>
    <s v="Passed"/>
    <x v="1"/>
    <s v="mkalra(Manoj Kalra)"/>
    <x v="0"/>
    <s v="Executed"/>
    <x v="0"/>
    <s v="U3400 R6.4 - NIC5 - Meter display -  register resolution"/>
  </r>
  <r>
    <n v="144"/>
    <x v="0"/>
    <s v="U3400 R6.4 - NIC3"/>
    <s v="010 - Supply Contactor"/>
    <s v="Meter supply contactor - Arm Remotely"/>
    <x v="2"/>
    <s v=" "/>
    <d v="2024-10-07T00:00:00"/>
    <d v="1899-12-30T16:03:40"/>
    <s v="N/A"/>
    <x v="5"/>
    <s v="mkalra(Manoj Kalra)"/>
    <x v="0"/>
    <s v="No Run"/>
    <x v="3"/>
    <s v="U3400 R6.4 - NIC3 - Meter supply contactor - Arm Remotely"/>
  </r>
  <r>
    <n v="69"/>
    <x v="0"/>
    <s v="U3400 R6.4 - NIC3"/>
    <s v="010 - Supply Contactor"/>
    <s v="Meter supply contactor - Remote Lockout"/>
    <x v="0"/>
    <s v=" "/>
    <d v="2024-09-30T00:00:00"/>
    <d v="1899-12-30T16:15:12"/>
    <s v="Passed"/>
    <x v="1"/>
    <s v="mkalra(Manoj Kalra)"/>
    <x v="0"/>
    <s v="Executed"/>
    <x v="0"/>
    <s v="U3400 R6.4 - NIC3 - Meter supply contactor - Remote Lockout"/>
  </r>
  <r>
    <n v="68"/>
    <x v="0"/>
    <s v="U3400 R6.4 - NIC3"/>
    <s v="010 - Supply Contactor"/>
    <s v="Meter supply contactor connect disconnect - local"/>
    <x v="0"/>
    <s v=" "/>
    <d v="2024-09-30T00:00:00"/>
    <d v="1899-12-30T17:12:38"/>
    <s v="Passed"/>
    <x v="1"/>
    <s v="mkalra(Manoj Kalra)"/>
    <x v="0"/>
    <s v="Executed"/>
    <x v="0"/>
    <s v="U3400 R6.4 - NIC3 - Meter supply contactor connect disconnect - local"/>
  </r>
  <r>
    <n v="67"/>
    <x v="0"/>
    <s v="U3400 R6.4 - NIC3"/>
    <s v="010 - Supply Contactor"/>
    <s v="Meter supply contactor connect disconnect - remote"/>
    <x v="0"/>
    <s v=" "/>
    <d v="2024-09-30T00:00:00"/>
    <d v="1899-12-30T17:29:00"/>
    <s v="Passed"/>
    <x v="1"/>
    <s v="mkalra(Manoj Kalra)"/>
    <x v="0"/>
    <s v="Executed"/>
    <x v="0"/>
    <s v="U3400 R6.4 - NIC3 - Meter supply contactor connect disconnect - remote"/>
  </r>
  <r>
    <n v="144"/>
    <x v="0"/>
    <s v="U1300 R6.4 - NIC3"/>
    <s v="010 - Supply Contactor"/>
    <s v="Meter supply contactor - Arm Remotely"/>
    <x v="2"/>
    <s v=" "/>
    <d v="2024-10-10T00:00:00"/>
    <d v="1899-12-30T08:40:52"/>
    <s v="N/A"/>
    <x v="5"/>
    <s v="knjuguna(Kamau Njuguna)"/>
    <x v="1"/>
    <s v="No Run"/>
    <x v="3"/>
    <s v="U1300 R6.4 - NIC3 - Meter supply contactor - Arm Remotely"/>
  </r>
  <r>
    <n v="69"/>
    <x v="0"/>
    <s v="U1300 R6.4 - NIC3"/>
    <s v="010 - Supply Contactor"/>
    <s v="Meter supply contactor - Remote Lockout"/>
    <x v="0"/>
    <s v=" "/>
    <d v="2024-10-07T00:00:00"/>
    <d v="1899-12-30T13:30:18"/>
    <s v="Passed"/>
    <x v="1"/>
    <s v="knjuguna(Kamau Njuguna)"/>
    <x v="1"/>
    <s v="Executed"/>
    <x v="0"/>
    <s v="U1300 R6.4 - NIC3 - Meter supply contactor - Remote Lockout"/>
  </r>
  <r>
    <n v="68"/>
    <x v="0"/>
    <s v="U1300 R6.4 - NIC3"/>
    <s v="010 - Supply Contactor"/>
    <s v="Meter supply contactor connect disconnect - local"/>
    <x v="0"/>
    <s v=" "/>
    <d v="2024-10-03T00:00:00"/>
    <d v="1899-12-30T16:40:16"/>
    <s v="Passed"/>
    <x v="1"/>
    <s v="knjuguna(Kamau Njuguna)"/>
    <x v="1"/>
    <s v="Executed"/>
    <x v="0"/>
    <s v="U1300 R6.4 - NIC3 - Meter supply contactor connect disconnect - local"/>
  </r>
  <r>
    <n v="67"/>
    <x v="0"/>
    <s v="U1300 R6.4 - NIC3"/>
    <s v="010 - Supply Contactor"/>
    <s v="Meter supply contactor connect disconnect - remote"/>
    <x v="0"/>
    <s v=" "/>
    <d v="2024-10-03T00:00:00"/>
    <d v="1899-12-30T15:18:56"/>
    <s v="Passed"/>
    <x v="1"/>
    <s v="knjuguna(Kamau Njuguna)"/>
    <x v="1"/>
    <s v="Executed"/>
    <x v="0"/>
    <s v="U1300 R6.4 - NIC3 - Meter supply contactor connect disconnect - remote"/>
  </r>
  <r>
    <n v="144"/>
    <x v="0"/>
    <s v="U3400 R6.4 - NIC5"/>
    <s v="010 - Supply Contactor"/>
    <s v="Meter supply contactor - Arm Remotely"/>
    <x v="2"/>
    <s v=" "/>
    <d v="2024-10-07T00:00:00"/>
    <d v="1899-12-30T16:04:37"/>
    <s v="N/A"/>
    <x v="5"/>
    <s v="mkalra(Manoj Kalra)"/>
    <x v="0"/>
    <s v="No Run"/>
    <x v="3"/>
    <s v="U3400 R6.4 - NIC5 - Meter supply contactor - Arm Remotely"/>
  </r>
  <r>
    <n v="69"/>
    <x v="0"/>
    <s v="U3400 R6.4 - NIC5"/>
    <s v="010 - Supply Contactor"/>
    <s v="Meter supply contactor - Remote Lockout"/>
    <x v="0"/>
    <s v=" "/>
    <d v="2024-09-30T00:00:00"/>
    <d v="1899-12-30T16:15:16"/>
    <s v="Passed"/>
    <x v="1"/>
    <s v="mkalra(Manoj Kalra)"/>
    <x v="0"/>
    <s v="Executed"/>
    <x v="0"/>
    <s v="U3400 R6.4 - NIC5 - Meter supply contactor - Remote Lockout"/>
  </r>
  <r>
    <n v="68"/>
    <x v="0"/>
    <s v="U3400 R6.4 - NIC5"/>
    <s v="010 - Supply Contactor"/>
    <s v="Meter supply contactor connect disconnect - local"/>
    <x v="0"/>
    <s v=" "/>
    <d v="2024-09-30T00:00:00"/>
    <d v="1899-12-30T17:11:37"/>
    <s v="Passed"/>
    <x v="1"/>
    <s v="mkalra(Manoj Kalra)"/>
    <x v="0"/>
    <s v="Executed"/>
    <x v="0"/>
    <s v="U3400 R6.4 - NIC5 - Meter supply contactor connect disconnect - local"/>
  </r>
  <r>
    <n v="67"/>
    <x v="0"/>
    <s v="U3400 R6.4 - NIC5"/>
    <s v="010 - Supply Contactor"/>
    <s v="Meter supply contactor connect disconnect - remote"/>
    <x v="0"/>
    <s v=" "/>
    <d v="2024-09-30T00:00:00"/>
    <d v="1899-12-30T17:28:55"/>
    <s v="Passed"/>
    <x v="1"/>
    <s v="mkalra(Manoj Kalra)"/>
    <x v="0"/>
    <s v="Executed"/>
    <x v="0"/>
    <s v="U3400 R6.4 - NIC5 - Meter supply contactor connect disconnect - remote"/>
  </r>
  <r>
    <n v="144"/>
    <x v="0"/>
    <s v="U1300 R6.4 - NIC5"/>
    <s v="010 - Supply Contactor"/>
    <s v="Meter supply contactor - Arm Remotely"/>
    <x v="2"/>
    <s v="Not applicable to L&amp;G meters"/>
    <d v="2024-10-15T00:00:00"/>
    <d v="1899-12-30T11:54:13"/>
    <s v="N/A"/>
    <x v="5"/>
    <s v="knjuguna(Kamau Njuguna)"/>
    <x v="1"/>
    <s v="No Run"/>
    <x v="3"/>
    <s v="U1300 R6.4 - NIC5 - Meter supply contactor - Arm Remotely"/>
  </r>
  <r>
    <n v="69"/>
    <x v="0"/>
    <s v="U1300 R6.4 - NIC5"/>
    <s v="010 - Supply Contactor"/>
    <s v="Meter supply contactor - Remote Lockout"/>
    <x v="0"/>
    <s v=" "/>
    <d v="2024-10-07T00:00:00"/>
    <d v="1899-12-30T15:08:57"/>
    <s v="Passed"/>
    <x v="1"/>
    <s v="knjuguna(Kamau Njuguna)"/>
    <x v="1"/>
    <s v="Executed"/>
    <x v="0"/>
    <s v="U1300 R6.4 - NIC5 - Meter supply contactor - Remote Lockout"/>
  </r>
  <r>
    <n v="68"/>
    <x v="0"/>
    <s v="U1300 R6.4 - NIC5"/>
    <s v="010 - Supply Contactor"/>
    <s v="Meter supply contactor connect disconnect - local"/>
    <x v="0"/>
    <s v=" "/>
    <d v="2024-10-03T00:00:00"/>
    <d v="1899-12-30T16:43:21"/>
    <s v="Passed"/>
    <x v="1"/>
    <s v="knjuguna(Kamau Njuguna)"/>
    <x v="1"/>
    <s v="Executed"/>
    <x v="0"/>
    <s v="U1300 R6.4 - NIC5 - Meter supply contactor connect disconnect - local"/>
  </r>
  <r>
    <n v="67"/>
    <x v="0"/>
    <s v="U1300 R6.4 - NIC5"/>
    <s v="010 - Supply Contactor"/>
    <s v="Meter supply contactor connect disconnect - remote"/>
    <x v="0"/>
    <s v=" "/>
    <d v="2024-10-03T00:00:00"/>
    <d v="1899-12-30T15:24:22"/>
    <s v="Passed"/>
    <x v="1"/>
    <s v="knjuguna(Kamau Njuguna)"/>
    <x v="1"/>
    <s v="Executed"/>
    <x v="0"/>
    <s v="U1300 R6.4 - NIC5 - Meter supply contactor connect disconnect - remote"/>
  </r>
  <r>
    <n v="71"/>
    <x v="0"/>
    <s v="U3400 R6.4 - NIC3"/>
    <s v="011 - Auto-Disconnection"/>
    <s v="Auto-Disconnect - Disabled"/>
    <x v="0"/>
    <s v=" "/>
    <d v="2024-10-01T00:00:00"/>
    <d v="1899-12-30T10:07:03"/>
    <s v="Passed"/>
    <x v="1"/>
    <s v="mkalra(Manoj Kalra)"/>
    <x v="0"/>
    <s v="Executed"/>
    <x v="0"/>
    <s v="U3400 R6.4 - NIC3 - Auto-Disconnect - Disabled"/>
  </r>
  <r>
    <n v="70"/>
    <x v="0"/>
    <s v="U3400 R6.4 - NIC3"/>
    <s v="011 - Auto-Disconnection"/>
    <s v="Auto-Disconnect - Enabled"/>
    <x v="0"/>
    <s v=" "/>
    <d v="2024-10-01T00:00:00"/>
    <d v="1899-12-30T12:13:23"/>
    <s v="Passed"/>
    <x v="1"/>
    <s v="mkalra(Manoj Kalra)"/>
    <x v="0"/>
    <s v="Executed"/>
    <x v="0"/>
    <s v="U3400 R6.4 - NIC3 - Auto-Disconnect - Enabled"/>
  </r>
  <r>
    <n v="185"/>
    <x v="0"/>
    <s v="U3400 R6.4 - NIC3"/>
    <s v="011 - Auto-Disconnection"/>
    <s v="Auto-Disconnect - Override For NAP (L+G)"/>
    <x v="1"/>
    <s v=" "/>
    <d v="2024-10-01T00:00:00"/>
    <d v="1899-12-30T12:58:20"/>
    <s v="Passed"/>
    <x v="1"/>
    <s v="mkalra(Manoj Kalra)"/>
    <x v="0"/>
    <s v="Executed"/>
    <x v="0"/>
    <s v="U3400 R6.4 - NIC3 - Auto-Disconnect - Override For NAP (L+G)"/>
  </r>
  <r>
    <n v="89"/>
    <x v="0"/>
    <s v="U3400 R6.4 - NIC3"/>
    <s v="011 - Auto-Disconnection"/>
    <s v="Auto-Disconnect - Remote Lockout"/>
    <x v="3"/>
    <s v=" "/>
    <d v="2024-10-01T00:00:00"/>
    <d v="1899-12-30T13:21:58"/>
    <s v="Passed"/>
    <x v="1"/>
    <s v="mkalra(Manoj Kalra)"/>
    <x v="0"/>
    <s v="Executed"/>
    <x v="0"/>
    <s v="U3400 R6.4 - NIC3 - Auto-Disconnect - Remote Lockout"/>
  </r>
  <r>
    <n v="71"/>
    <x v="0"/>
    <s v="U1300 R6.4 - NIC3"/>
    <s v="011 - Auto-Disconnection"/>
    <s v="Auto-Disconnect - Disabled"/>
    <x v="0"/>
    <s v=" "/>
    <d v="2024-10-04T00:00:00"/>
    <d v="1899-12-30T09:37:27"/>
    <s v="Passed"/>
    <x v="1"/>
    <s v="knjuguna(Kamau Njuguna)"/>
    <x v="1"/>
    <s v="Executed"/>
    <x v="0"/>
    <s v="U1300 R6.4 - NIC3 - Auto-Disconnect - Disabled"/>
  </r>
  <r>
    <n v="70"/>
    <x v="0"/>
    <s v="U1300 R6.4 - NIC3"/>
    <s v="011 - Auto-Disconnection"/>
    <s v="Auto-Disconnect - Enabled"/>
    <x v="0"/>
    <s v=" "/>
    <d v="2024-10-04T00:00:00"/>
    <d v="1899-12-30T08:56:38"/>
    <s v="Passed"/>
    <x v="1"/>
    <s v="knjuguna(Kamau Njuguna)"/>
    <x v="1"/>
    <s v="Executed"/>
    <x v="0"/>
    <s v="U1300 R6.4 - NIC3 - Auto-Disconnect - Enabled"/>
  </r>
  <r>
    <n v="185"/>
    <x v="0"/>
    <s v="U1300 R6.4 - NIC3"/>
    <s v="011 - Auto-Disconnection"/>
    <s v="Auto-Disconnect - Override For NAP (L+G)"/>
    <x v="1"/>
    <s v=" "/>
    <d v="2024-10-04T00:00:00"/>
    <d v="1899-12-30T10:50:11"/>
    <s v="Passed"/>
    <x v="1"/>
    <s v="knjuguna(Kamau Njuguna)"/>
    <x v="1"/>
    <s v="Executed"/>
    <x v="0"/>
    <s v="U1300 R6.4 - NIC3 - Auto-Disconnect - Override For NAP (L+G)"/>
  </r>
  <r>
    <n v="89"/>
    <x v="0"/>
    <s v="U1300 R6.4 - NIC3"/>
    <s v="011 - Auto-Disconnection"/>
    <s v="Auto-Disconnect - Remote Lockout"/>
    <x v="3"/>
    <s v=" "/>
    <d v="2024-10-04T00:00:00"/>
    <d v="1899-12-30T11:03:36"/>
    <s v="Passed"/>
    <x v="1"/>
    <s v="knjuguna(Kamau Njuguna)"/>
    <x v="1"/>
    <s v="Executed"/>
    <x v="0"/>
    <s v="U1300 R6.4 - NIC3 - Auto-Disconnect - Remote Lockout"/>
  </r>
  <r>
    <n v="71"/>
    <x v="0"/>
    <s v="U3400 R6.4 - NIC5"/>
    <s v="011 - Auto-Disconnection"/>
    <s v="Auto-Disconnect - Disabled"/>
    <x v="0"/>
    <s v=" "/>
    <d v="2024-10-01T00:00:00"/>
    <d v="1899-12-30T10:07:00"/>
    <s v="Passed"/>
    <x v="1"/>
    <s v="mkalra(Manoj Kalra)"/>
    <x v="0"/>
    <s v="Executed"/>
    <x v="0"/>
    <s v="U3400 R6.4 - NIC5 - Auto-Disconnect - Disabled"/>
  </r>
  <r>
    <n v="70"/>
    <x v="0"/>
    <s v="U3400 R6.4 - NIC5"/>
    <s v="011 - Auto-Disconnection"/>
    <s v="Auto-Disconnect - Enabled"/>
    <x v="0"/>
    <s v=" "/>
    <d v="2024-10-01T00:00:00"/>
    <d v="1899-12-30T12:58:43"/>
    <s v="Passed"/>
    <x v="1"/>
    <s v="mkalra(Manoj Kalra)"/>
    <x v="0"/>
    <s v="Executed"/>
    <x v="0"/>
    <s v="U3400 R6.4 - NIC5 - Auto-Disconnect - Enabled"/>
  </r>
  <r>
    <n v="185"/>
    <x v="0"/>
    <s v="U3400 R6.4 - NIC5"/>
    <s v="011 - Auto-Disconnection"/>
    <s v="Auto-Disconnect - Override For NAP (L+G)"/>
    <x v="1"/>
    <s v=" "/>
    <d v="2024-10-01T00:00:00"/>
    <d v="1899-12-30T12:58:22"/>
    <s v="Passed"/>
    <x v="1"/>
    <s v="mkalra(Manoj Kalra)"/>
    <x v="0"/>
    <s v="Executed"/>
    <x v="0"/>
    <s v="U3400 R6.4 - NIC5 - Auto-Disconnect - Override For NAP (L+G)"/>
  </r>
  <r>
    <n v="89"/>
    <x v="0"/>
    <s v="U3400 R6.4 - NIC5"/>
    <s v="011 - Auto-Disconnection"/>
    <s v="Auto-Disconnect - Remote Lockout"/>
    <x v="3"/>
    <s v=" "/>
    <d v="2024-10-01T00:00:00"/>
    <d v="1899-12-30T13:21:51"/>
    <s v="Passed"/>
    <x v="1"/>
    <s v="mkalra(Manoj Kalra)"/>
    <x v="0"/>
    <s v="Executed"/>
    <x v="0"/>
    <s v="U3400 R6.4 - NIC5 - Auto-Disconnect - Remote Lockout"/>
  </r>
  <r>
    <n v="71"/>
    <x v="0"/>
    <s v="U1300 R6.4 - NIC5"/>
    <s v="011 - Auto-Disconnection"/>
    <s v="Auto-Disconnect - Disabled"/>
    <x v="0"/>
    <s v=" "/>
    <d v="2024-10-04T00:00:00"/>
    <d v="1899-12-30T09:43:50"/>
    <s v="Passed"/>
    <x v="1"/>
    <s v="knjuguna(Kamau Njuguna)"/>
    <x v="1"/>
    <s v="Executed"/>
    <x v="0"/>
    <s v="U1300 R6.4 - NIC5 - Auto-Disconnect - Disabled"/>
  </r>
  <r>
    <n v="70"/>
    <x v="0"/>
    <s v="U1300 R6.4 - NIC5"/>
    <s v="011 - Auto-Disconnection"/>
    <s v="Auto-Disconnect - Enabled"/>
    <x v="0"/>
    <s v=" "/>
    <d v="2024-10-04T00:00:00"/>
    <d v="1899-12-30T08:58:28"/>
    <s v="Passed"/>
    <x v="1"/>
    <s v="knjuguna(Kamau Njuguna)"/>
    <x v="1"/>
    <s v="Executed"/>
    <x v="0"/>
    <s v="U1300 R6.4 - NIC5 - Auto-Disconnect - Enabled"/>
  </r>
  <r>
    <n v="185"/>
    <x v="0"/>
    <s v="U1300 R6.4 - NIC5"/>
    <s v="011 - Auto-Disconnection"/>
    <s v="Auto-Disconnect - Override For NAP (L+G)"/>
    <x v="1"/>
    <s v=" "/>
    <d v="2024-10-04T00:00:00"/>
    <d v="1899-12-30T10:50:19"/>
    <s v="Passed"/>
    <x v="1"/>
    <s v="knjuguna(Kamau Njuguna)"/>
    <x v="1"/>
    <s v="Executed"/>
    <x v="0"/>
    <s v="U1300 R6.4 - NIC5 - Auto-Disconnect - Override For NAP (L+G)"/>
  </r>
  <r>
    <n v="89"/>
    <x v="0"/>
    <s v="U1300 R6.4 - NIC5"/>
    <s v="011 - Auto-Disconnection"/>
    <s v="Auto-Disconnect - Remote Lockout"/>
    <x v="3"/>
    <s v=" "/>
    <d v="2024-10-04T00:00:00"/>
    <d v="1899-12-30T11:10:04"/>
    <s v="Passed"/>
    <x v="1"/>
    <s v="knjuguna(Kamau Njuguna)"/>
    <x v="1"/>
    <s v="Executed"/>
    <x v="0"/>
    <s v="U1300 R6.4 - NIC5 - Auto-Disconnect - Remote Lockout"/>
  </r>
  <r>
    <n v="74"/>
    <x v="0"/>
    <s v="U3400 R6.4 - NIC3"/>
    <s v="012 - Load Contactor"/>
    <s v="Meter load contactor - remote override (close)"/>
    <x v="0"/>
    <s v=" "/>
    <d v="2024-09-20T00:00:00"/>
    <d v="1899-12-30T09:55:07"/>
    <s v="Passed"/>
    <x v="1"/>
    <s v="mkalra(Manoj Kalra)"/>
    <x v="0"/>
    <s v="Executed"/>
    <x v="0"/>
    <s v="U3400 R6.4 - NIC3 - Meter load contactor - remote override (close)"/>
  </r>
  <r>
    <n v="73"/>
    <x v="0"/>
    <s v="U3400 R6.4 - NIC3"/>
    <s v="012 - Load Contactor"/>
    <s v="Meter load contactor - remote override (open)"/>
    <x v="0"/>
    <s v=" "/>
    <d v="2024-09-20T00:00:00"/>
    <d v="1899-12-30T11:03:11"/>
    <s v="Failed"/>
    <x v="2"/>
    <s v="mkalra(Manoj Kalra)"/>
    <x v="0"/>
    <s v="Executed"/>
    <x v="0"/>
    <s v="U3400 R6.4 - NIC3 - Meter load contactor - remote override (open)"/>
  </r>
  <r>
    <n v="75"/>
    <x v="0"/>
    <s v="U3400 R6.4 - NIC3"/>
    <s v="012 - Load Contactor"/>
    <s v="Meter load contactor - switching schedule 5-on-5-off"/>
    <x v="0"/>
    <s v=" "/>
    <d v="2024-10-07T00:00:00"/>
    <d v="1899-12-30T10:22:34"/>
    <s v="Passed"/>
    <x v="1"/>
    <s v="mkalra(Manoj Kalra)"/>
    <x v="0"/>
    <s v="Executed"/>
    <x v="0"/>
    <s v="U3400 R6.4 - NIC3 - Meter load contactor - switching schedule 5-on-5-off"/>
  </r>
  <r>
    <n v="122"/>
    <x v="0"/>
    <s v="U3400 R6.4 - NIC3"/>
    <s v="012 - Load Contactor"/>
    <s v="Boost Primacy - Boost time longer than LC override"/>
    <x v="1"/>
    <s v=" "/>
    <d v="2024-10-03T00:00:00"/>
    <d v="1899-12-30T16:18:25"/>
    <s v="Passed"/>
    <x v="1"/>
    <s v="mkalra(Manoj Kalra)"/>
    <x v="0"/>
    <s v="Executed"/>
    <x v="0"/>
    <s v="U3400 R6.4 - NIC3 - Boost Primacy - Boost time longer than LC override"/>
  </r>
  <r>
    <n v="123"/>
    <x v="0"/>
    <s v="U3400 R6.4 - NIC3"/>
    <s v="012 - Load Contactor"/>
    <s v="Boost Primacy - Disabled"/>
    <x v="1"/>
    <s v=" "/>
    <d v="2024-09-20T00:00:00"/>
    <d v="1899-12-30T13:20:24"/>
    <s v="Passed"/>
    <x v="1"/>
    <s v="mkalra(Manoj Kalra)"/>
    <x v="0"/>
    <s v="Executed"/>
    <x v="0"/>
    <s v="U3400 R6.4 - NIC3 - Boost Primacy - Disabled"/>
  </r>
  <r>
    <n v="1725"/>
    <x v="0"/>
    <s v="U3400 R6.4 - NIC3"/>
    <s v="012 - Load Contactor"/>
    <s v="Boost Primacy - Enable-Disable"/>
    <x v="1"/>
    <s v=" "/>
    <d v="2024-09-20T00:00:00"/>
    <d v="1899-12-30T15:00:07"/>
    <s v="Failed"/>
    <x v="2"/>
    <s v="mkalra(Manoj Kalra)"/>
    <x v="0"/>
    <s v="Executed"/>
    <x v="0"/>
    <s v="U3400 R6.4 - NIC3 - Boost Primacy - Enable-Disable"/>
  </r>
  <r>
    <n v="90"/>
    <x v="0"/>
    <s v="U3400 R6.4 - NIC3"/>
    <s v="012 - Load Contactor"/>
    <s v="Boost operation - Disabled"/>
    <x v="1"/>
    <s v=" "/>
    <d v="2024-09-24T00:00:00"/>
    <d v="1899-12-30T09:38:15"/>
    <s v="Passed"/>
    <x v="1"/>
    <s v="mkalra(Manoj Kalra)"/>
    <x v="0"/>
    <s v="Executed"/>
    <x v="0"/>
    <s v="U3400 R6.4 - NIC3 - Boost operation - Disabled"/>
  </r>
  <r>
    <n v="76"/>
    <x v="0"/>
    <s v="U3400 R6.4 - NIC3"/>
    <s v="012 - Load Contactor"/>
    <s v="Boost operation - Enabled - Boost (Boost Duration) minutes"/>
    <x v="0"/>
    <s v=" "/>
    <d v="2024-09-24T00:00:00"/>
    <d v="1899-12-30T12:36:32"/>
    <s v="Passed"/>
    <x v="1"/>
    <s v="mkalra(Manoj Kalra)"/>
    <x v="0"/>
    <s v="Executed"/>
    <x v="0"/>
    <s v="U3400 R6.4 - NIC3 - Boost operation - Enabled - Boost (Boost Duration) minutes"/>
  </r>
  <r>
    <n v="74"/>
    <x v="0"/>
    <s v="U1300 R6.4 - NIC3"/>
    <s v="012 - Load Contactor"/>
    <s v="Meter load contactor - remote override (close)"/>
    <x v="0"/>
    <s v=" "/>
    <d v="2024-09-20T00:00:00"/>
    <d v="1899-12-30T14:10:39"/>
    <s v="Passed"/>
    <x v="1"/>
    <s v="knjuguna(Kamau Njuguna)"/>
    <x v="1"/>
    <s v="Executed"/>
    <x v="0"/>
    <s v="U1300 R6.4 - NIC3 - Meter load contactor - remote override (close)"/>
  </r>
  <r>
    <n v="73"/>
    <x v="0"/>
    <s v="U1300 R6.4 - NIC3"/>
    <s v="012 - Load Contactor"/>
    <s v="Meter load contactor - remote override (open)"/>
    <x v="0"/>
    <s v=" "/>
    <d v="2024-09-20T00:00:00"/>
    <d v="1899-12-30T14:50:34"/>
    <s v="Failed"/>
    <x v="2"/>
    <s v="knjuguna(Kamau Njuguna)"/>
    <x v="1"/>
    <s v="Executed"/>
    <x v="0"/>
    <s v="U1300 R6.4 - NIC3 - Meter load contactor - remote override (open)"/>
  </r>
  <r>
    <n v="75"/>
    <x v="0"/>
    <s v="U1300 R6.4 - NIC3"/>
    <s v="012 - Load Contactor"/>
    <s v="Meter load contactor - switching schedule 5-on-5-off"/>
    <x v="0"/>
    <s v=" "/>
    <d v="2024-09-23T00:00:00"/>
    <d v="1899-12-30T09:04:19"/>
    <s v="Passed"/>
    <x v="1"/>
    <s v="knjuguna(Kamau Njuguna)"/>
    <x v="1"/>
    <s v="Executed"/>
    <x v="0"/>
    <s v="U1300 R6.4 - NIC3 - Meter load contactor - switching schedule 5-on-5-off"/>
  </r>
  <r>
    <n v="122"/>
    <x v="0"/>
    <s v="U1300 R6.4 - NIC3"/>
    <s v="012 - Load Contactor"/>
    <s v="Boost Primacy - Boost time longer than LC override"/>
    <x v="1"/>
    <s v=" "/>
    <d v="2024-10-04T00:00:00"/>
    <d v="1899-12-30T14:38:00"/>
    <s v="Passed"/>
    <x v="1"/>
    <s v="knjuguna(Kamau Njuguna)"/>
    <x v="1"/>
    <s v="Executed"/>
    <x v="0"/>
    <s v="U1300 R6.4 - NIC3 - Boost Primacy - Boost time longer than LC override"/>
  </r>
  <r>
    <n v="123"/>
    <x v="0"/>
    <s v="U1300 R6.4 - NIC3"/>
    <s v="012 - Load Contactor"/>
    <s v="Boost Primacy - Disabled"/>
    <x v="1"/>
    <s v=" "/>
    <d v="2024-10-04T00:00:00"/>
    <d v="1899-12-30T16:03:47"/>
    <s v="Passed"/>
    <x v="1"/>
    <s v="knjuguna(Kamau Njuguna)"/>
    <x v="1"/>
    <s v="Executed"/>
    <x v="0"/>
    <s v="U1300 R6.4 - NIC3 - Boost Primacy - Disabled"/>
  </r>
  <r>
    <n v="1725"/>
    <x v="0"/>
    <s v="U1300 R6.4 - NIC3"/>
    <s v="012 - Load Contactor"/>
    <s v="Boost Primacy - Enable-Disable"/>
    <x v="1"/>
    <s v=" "/>
    <d v="2024-10-04T00:00:00"/>
    <d v="1899-12-30T16:43:52"/>
    <s v="Failed"/>
    <x v="2"/>
    <s v="knjuguna(Kamau Njuguna)"/>
    <x v="1"/>
    <s v="Executed"/>
    <x v="0"/>
    <s v="U1300 R6.4 - NIC3 - Boost Primacy - Enable-Disable"/>
  </r>
  <r>
    <n v="90"/>
    <x v="0"/>
    <s v="U1300 R6.4 - NIC3"/>
    <s v="012 - Load Contactor"/>
    <s v="Boost operation - Disabled"/>
    <x v="1"/>
    <s v=" "/>
    <d v="2024-10-07T00:00:00"/>
    <d v="1899-12-30T16:22:49"/>
    <s v="Passed"/>
    <x v="1"/>
    <s v="knjuguna(Kamau Njuguna)"/>
    <x v="1"/>
    <s v="Executed"/>
    <x v="0"/>
    <s v="U1300 R6.4 - NIC3 - Boost operation - Disabled"/>
  </r>
  <r>
    <n v="76"/>
    <x v="0"/>
    <s v="U1300 R6.4 - NIC3"/>
    <s v="012 - Load Contactor"/>
    <s v="Boost operation - Enabled - Boost (Boost Duration) minutes"/>
    <x v="0"/>
    <s v=" "/>
    <d v="2024-10-08T00:00:00"/>
    <d v="1899-12-30T11:23:39"/>
    <s v="Passed"/>
    <x v="1"/>
    <s v="knjuguna(Kamau Njuguna)"/>
    <x v="1"/>
    <s v="Executed"/>
    <x v="0"/>
    <s v="U1300 R6.4 - NIC3 - Boost operation - Enabled - Boost (Boost Duration) minutes"/>
  </r>
  <r>
    <n v="74"/>
    <x v="0"/>
    <s v="U3400 R6.4 - NIC5"/>
    <s v="012 - Load Contactor"/>
    <s v="Meter load contactor - remote override (close)"/>
    <x v="0"/>
    <s v=" "/>
    <d v="2024-09-20T00:00:00"/>
    <d v="1899-12-30T09:55:12"/>
    <s v="Passed"/>
    <x v="1"/>
    <s v="mkalra(Manoj Kalra)"/>
    <x v="0"/>
    <s v="Executed"/>
    <x v="0"/>
    <s v="U3400 R6.4 - NIC5 - Meter load contactor - remote override (close)"/>
  </r>
  <r>
    <n v="73"/>
    <x v="0"/>
    <s v="U3400 R6.4 - NIC5"/>
    <s v="012 - Load Contactor"/>
    <s v="Meter load contactor - remote override (open)"/>
    <x v="0"/>
    <s v=" "/>
    <d v="2024-09-20T00:00:00"/>
    <d v="1899-12-30T10:59:45"/>
    <s v="Failed"/>
    <x v="2"/>
    <s v="mkalra(Manoj Kalra)"/>
    <x v="0"/>
    <s v="Executed"/>
    <x v="0"/>
    <s v="U3400 R6.4 - NIC5 - Meter load contactor - remote override (open)"/>
  </r>
  <r>
    <n v="75"/>
    <x v="0"/>
    <s v="U3400 R6.4 - NIC5"/>
    <s v="012 - Load Contactor"/>
    <s v="Meter load contactor - switching schedule 5-on-5-off"/>
    <x v="0"/>
    <s v=" "/>
    <d v="2024-10-07T00:00:00"/>
    <d v="1899-12-30T10:22:40"/>
    <s v="Passed"/>
    <x v="1"/>
    <s v="mkalra(Manoj Kalra)"/>
    <x v="0"/>
    <s v="Executed"/>
    <x v="0"/>
    <s v="U3400 R6.4 - NIC5 - Meter load contactor - switching schedule 5-on-5-off"/>
  </r>
  <r>
    <n v="122"/>
    <x v="0"/>
    <s v="U3400 R6.4 - NIC5"/>
    <s v="012 - Load Contactor"/>
    <s v="Boost Primacy - Boost time longer than LC override"/>
    <x v="1"/>
    <s v=" "/>
    <d v="2024-10-03T00:00:00"/>
    <d v="1899-12-30T16:19:02"/>
    <s v="Passed"/>
    <x v="1"/>
    <s v="mkalra(Manoj Kalra)"/>
    <x v="0"/>
    <s v="Executed"/>
    <x v="0"/>
    <s v="U3400 R6.4 - NIC5 - Boost Primacy - Boost time longer than LC override"/>
  </r>
  <r>
    <n v="123"/>
    <x v="0"/>
    <s v="U3400 R6.4 - NIC5"/>
    <s v="012 - Load Contactor"/>
    <s v="Boost Primacy - Disabled"/>
    <x v="1"/>
    <s v=" "/>
    <d v="2024-09-20T00:00:00"/>
    <d v="1899-12-30T13:20:20"/>
    <s v="Passed"/>
    <x v="1"/>
    <s v="mkalra(Manoj Kalra)"/>
    <x v="0"/>
    <s v="Executed"/>
    <x v="0"/>
    <s v="U3400 R6.4 - NIC5 - Boost Primacy - Disabled"/>
  </r>
  <r>
    <n v="1725"/>
    <x v="0"/>
    <s v="U3400 R6.4 - NIC5"/>
    <s v="012 - Load Contactor"/>
    <s v="Boost Primacy - Enable-Disable"/>
    <x v="1"/>
    <s v=" "/>
    <d v="2024-09-20T00:00:00"/>
    <d v="1899-12-30T15:01:06"/>
    <s v="Failed"/>
    <x v="2"/>
    <s v="mkalra(Manoj Kalra)"/>
    <x v="0"/>
    <s v="Executed"/>
    <x v="0"/>
    <s v="U3400 R6.4 - NIC5 - Boost Primacy - Enable-Disable"/>
  </r>
  <r>
    <n v="90"/>
    <x v="0"/>
    <s v="U3400 R6.4 - NIC5"/>
    <s v="012 - Load Contactor"/>
    <s v="Boost operation - Disabled"/>
    <x v="1"/>
    <s v=" "/>
    <d v="2024-09-24T00:00:00"/>
    <d v="1899-12-30T09:38:18"/>
    <s v="Passed"/>
    <x v="1"/>
    <s v="mkalra(Manoj Kalra)"/>
    <x v="0"/>
    <s v="Executed"/>
    <x v="0"/>
    <s v="U3400 R6.4 - NIC5 - Boost operation - Disabled"/>
  </r>
  <r>
    <n v="76"/>
    <x v="0"/>
    <s v="U3400 R6.4 - NIC5"/>
    <s v="012 - Load Contactor"/>
    <s v="Boost operation - Enabled - Boost (Boost Duration) minutes"/>
    <x v="0"/>
    <s v=" "/>
    <d v="2024-09-24T00:00:00"/>
    <d v="1899-12-30T12:36:36"/>
    <s v="Passed"/>
    <x v="1"/>
    <s v="mkalra(Manoj Kalra)"/>
    <x v="0"/>
    <s v="Executed"/>
    <x v="0"/>
    <s v="U3400 R6.4 - NIC5 - Boost operation - Enabled - Boost (Boost Duration) minutes"/>
  </r>
  <r>
    <n v="74"/>
    <x v="0"/>
    <s v="U1300 R6.4 - NIC5"/>
    <s v="012 - Load Contactor"/>
    <s v="Meter load contactor - remote override (close)"/>
    <x v="0"/>
    <s v=" "/>
    <d v="2024-09-20T00:00:00"/>
    <d v="1899-12-30T14:12:26"/>
    <s v="Passed"/>
    <x v="1"/>
    <s v="knjuguna(Kamau Njuguna)"/>
    <x v="1"/>
    <s v="Executed"/>
    <x v="0"/>
    <s v="U1300 R6.4 - NIC5 - Meter load contactor - remote override (close)"/>
  </r>
  <r>
    <n v="73"/>
    <x v="0"/>
    <s v="U1300 R6.4 - NIC5"/>
    <s v="012 - Load Contactor"/>
    <s v="Meter load contactor - remote override (open)"/>
    <x v="0"/>
    <s v=" "/>
    <d v="2024-09-20T00:00:00"/>
    <d v="1899-12-30T14:56:33"/>
    <s v="Failed"/>
    <x v="2"/>
    <s v="knjuguna(Kamau Njuguna)"/>
    <x v="1"/>
    <s v="Executed"/>
    <x v="0"/>
    <s v="U1300 R6.4 - NIC5 - Meter load contactor - remote override (open)"/>
  </r>
  <r>
    <n v="75"/>
    <x v="0"/>
    <s v="U1300 R6.4 - NIC5"/>
    <s v="012 - Load Contactor"/>
    <s v="Meter load contactor - switching schedule 5-on-5-off"/>
    <x v="0"/>
    <s v=" "/>
    <d v="2024-09-23T00:00:00"/>
    <d v="1899-12-30T09:23:34"/>
    <s v="Passed"/>
    <x v="1"/>
    <s v="knjuguna(Kamau Njuguna)"/>
    <x v="1"/>
    <s v="Executed"/>
    <x v="0"/>
    <s v="U1300 R6.4 - NIC5 - Meter load contactor - switching schedule 5-on-5-off"/>
  </r>
  <r>
    <n v="122"/>
    <x v="0"/>
    <s v="U1300 R6.4 - NIC5"/>
    <s v="012 - Load Contactor"/>
    <s v="Boost Primacy - Boost time longer than LC override"/>
    <x v="1"/>
    <s v=" "/>
    <d v="2024-10-04T00:00:00"/>
    <d v="1899-12-30T14:39:37"/>
    <s v="Passed"/>
    <x v="1"/>
    <s v="knjuguna(Kamau Njuguna)"/>
    <x v="1"/>
    <s v="Executed"/>
    <x v="0"/>
    <s v="U1300 R6.4 - NIC5 - Boost Primacy - Boost time longer than LC override"/>
  </r>
  <r>
    <n v="123"/>
    <x v="0"/>
    <s v="U1300 R6.4 - NIC5"/>
    <s v="012 - Load Contactor"/>
    <s v="Boost Primacy - Disabled"/>
    <x v="1"/>
    <s v=" "/>
    <d v="2024-10-04T00:00:00"/>
    <d v="1899-12-30T16:12:06"/>
    <s v="Passed"/>
    <x v="1"/>
    <s v="knjuguna(Kamau Njuguna)"/>
    <x v="1"/>
    <s v="Executed"/>
    <x v="0"/>
    <s v="U1300 R6.4 - NIC5 - Boost Primacy - Disabled"/>
  </r>
  <r>
    <n v="1725"/>
    <x v="0"/>
    <s v="U1300 R6.4 - NIC5"/>
    <s v="012 - Load Contactor"/>
    <s v="Boost Primacy - Enable-Disable"/>
    <x v="1"/>
    <s v=" "/>
    <d v="2024-10-04T00:00:00"/>
    <d v="1899-12-30T16:56:58"/>
    <s v="Failed"/>
    <x v="2"/>
    <s v="knjuguna(Kamau Njuguna)"/>
    <x v="1"/>
    <s v="Executed"/>
    <x v="0"/>
    <s v="U1300 R6.4 - NIC5 - Boost Primacy - Enable-Disable"/>
  </r>
  <r>
    <n v="90"/>
    <x v="0"/>
    <s v="U1300 R6.4 - NIC5"/>
    <s v="012 - Load Contactor"/>
    <s v="Boost operation - Disabled"/>
    <x v="1"/>
    <s v=" "/>
    <d v="2024-10-07T00:00:00"/>
    <d v="1899-12-30T16:23:48"/>
    <s v="Passed"/>
    <x v="1"/>
    <s v="knjuguna(Kamau Njuguna)"/>
    <x v="1"/>
    <s v="Executed"/>
    <x v="0"/>
    <s v="U1300 R6.4 - NIC5 - Boost operation - Disabled"/>
  </r>
  <r>
    <n v="76"/>
    <x v="0"/>
    <s v="U1300 R6.4 - NIC5"/>
    <s v="012 - Load Contactor"/>
    <s v="Boost operation - Enabled - Boost (Boost Duration) minutes"/>
    <x v="0"/>
    <s v=" "/>
    <d v="2024-10-08T00:00:00"/>
    <d v="1899-12-30T11:28:33"/>
    <s v="Passed"/>
    <x v="1"/>
    <s v="knjuguna(Kamau Njuguna)"/>
    <x v="1"/>
    <s v="Executed"/>
    <x v="0"/>
    <s v="U1300 R6.4 - NIC5 - Boost operation - Enabled - Boost (Boost Duration) minutes"/>
  </r>
  <r>
    <n v="79"/>
    <x v="0"/>
    <s v="U3400 R6.4 - NIC3"/>
    <s v="014 - QoS"/>
    <s v="Loss of phase supply on 3-phase meters"/>
    <x v="0"/>
    <s v=" "/>
    <d v="2024-10-09T00:00:00"/>
    <d v="1899-12-30T12:43:30"/>
    <s v="Passed"/>
    <x v="1"/>
    <s v="mkalra(Manoj Kalra)"/>
    <x v="0"/>
    <s v="Executed"/>
    <x v="0"/>
    <s v="U3400 R6.4 - NIC3 - Loss of phase supply on 3-phase meters"/>
  </r>
  <r>
    <n v="78"/>
    <x v="0"/>
    <s v="U3400 R6.4 - NIC3"/>
    <s v="014 - QoS"/>
    <s v="Loss of supply - threshold"/>
    <x v="0"/>
    <s v=" "/>
    <d v="2024-10-09T00:00:00"/>
    <d v="1899-12-30T16:48:55"/>
    <s v="Passed"/>
    <x v="1"/>
    <s v="mkalra(Manoj Kalra)"/>
    <x v="0"/>
    <s v="Executed"/>
    <x v="0"/>
    <s v="U3400 R6.4 - NIC3 - Loss of supply - threshold"/>
  </r>
  <r>
    <n v="120"/>
    <x v="0"/>
    <s v="U3400 R6.4 - NIC3"/>
    <s v="014 - QoS"/>
    <s v="Over temperature event - L&amp;G meters"/>
    <x v="1"/>
    <s v=" "/>
    <d v="2024-10-15T00:00:00"/>
    <d v="1899-12-30T10:51:57"/>
    <s v="Not Completed"/>
    <x v="0"/>
    <s v="mkalra(Manoj Kalra)"/>
    <x v="0"/>
    <s v="RBT"/>
    <x v="0"/>
    <s v="U3400 R6.4 - NIC3 - Over temperature event - L&amp;G meters"/>
  </r>
  <r>
    <n v="146"/>
    <x v="0"/>
    <s v="U3400 R6.4 - NIC3"/>
    <s v="014 - QoS"/>
    <s v="QoS - Low PF detection"/>
    <x v="0"/>
    <s v=" "/>
    <d v="2024-10-11T00:00:00"/>
    <d v="1899-12-30T15:05:16"/>
    <s v="N/A"/>
    <x v="5"/>
    <s v="mkalra(Manoj Kalra)"/>
    <x v="0"/>
    <s v="No Run"/>
    <x v="3"/>
    <s v="U3400 R6.4 - NIC3 - QoS - Low PF detection"/>
  </r>
  <r>
    <n v="80"/>
    <x v="0"/>
    <s v="U3400 R6.4 - NIC3"/>
    <s v="014 - QoS"/>
    <s v="QoS - Overvoltage and Undervoltage"/>
    <x v="0"/>
    <s v=" "/>
    <d v="2024-10-09T00:00:00"/>
    <d v="1899-12-30T10:55:45"/>
    <s v="Passed"/>
    <x v="1"/>
    <s v="mkalra(Manoj Kalra)"/>
    <x v="0"/>
    <s v="Executed"/>
    <x v="0"/>
    <s v="U3400 R6.4 - NIC3 - QoS - Overvoltage and Undervoltage"/>
  </r>
  <r>
    <n v="145"/>
    <x v="0"/>
    <s v="U3400 R6.4 - NIC3"/>
    <s v="014 - QoS"/>
    <s v="QoS - Voltage failure detection"/>
    <x v="0"/>
    <s v=" "/>
    <d v="2024-10-09T00:00:00"/>
    <d v="1899-12-30T11:04:38"/>
    <s v="N/A"/>
    <x v="5"/>
    <s v="mkalra(Manoj Kalra)"/>
    <x v="0"/>
    <s v="No Run"/>
    <x v="3"/>
    <s v="U3400 R6.4 - NIC3 - QoS - Voltage failure detection"/>
  </r>
  <r>
    <n v="78"/>
    <x v="0"/>
    <s v="U1300 R6.4 - NIC3"/>
    <s v="014 - QoS"/>
    <s v="Loss of supply - threshold"/>
    <x v="0"/>
    <s v=" "/>
    <d v="2024-10-08T00:00:00"/>
    <d v="1899-12-30T14:35:21"/>
    <s v="Passed"/>
    <x v="1"/>
    <s v="knjuguna(Kamau Njuguna)"/>
    <x v="1"/>
    <s v="Executed"/>
    <x v="0"/>
    <s v="U1300 R6.4 - NIC3 - Loss of supply - threshold"/>
  </r>
  <r>
    <n v="120"/>
    <x v="0"/>
    <s v="U1300 R6.4 - NIC3"/>
    <s v="014 - QoS"/>
    <s v="Over temperature event - L&amp;G meters"/>
    <x v="1"/>
    <s v=" "/>
    <d v="2024-10-15T00:00:00"/>
    <d v="1899-12-30T11:55:51"/>
    <s v="Not Completed"/>
    <x v="3"/>
    <s v="knjuguna(Kamau Njuguna)"/>
    <x v="1"/>
    <s v="Executed"/>
    <x v="1"/>
    <s v="U1300 R6.4 - NIC3 - Over temperature event - L&amp;G meters"/>
  </r>
  <r>
    <n v="146"/>
    <x v="0"/>
    <s v="U1300 R6.4 - NIC3"/>
    <s v="014 - QoS"/>
    <s v="QoS - Low PF detection"/>
    <x v="0"/>
    <s v="Not applicable to L&amp;G meters"/>
    <d v="2024-10-09T00:00:00"/>
    <d v="1899-12-30T09:02:38"/>
    <s v="N/A"/>
    <x v="5"/>
    <s v="knjuguna(Kamau Njuguna)"/>
    <x v="1"/>
    <s v="No Run"/>
    <x v="3"/>
    <s v="U1300 R6.4 - NIC3 - QoS - Low PF detection"/>
  </r>
  <r>
    <n v="80"/>
    <x v="0"/>
    <s v="U1300 R6.4 - NIC3"/>
    <s v="014 - QoS"/>
    <s v="QoS - Overvoltage and Undervoltage"/>
    <x v="0"/>
    <s v=" "/>
    <d v="2024-10-07T00:00:00"/>
    <d v="1899-12-30T15:59:29"/>
    <s v="Passed"/>
    <x v="1"/>
    <s v="knjuguna(Kamau Njuguna)"/>
    <x v="1"/>
    <s v="Executed"/>
    <x v="0"/>
    <s v="U1300 R6.4 - NIC3 - QoS - Overvoltage and Undervoltage"/>
  </r>
  <r>
    <n v="145"/>
    <x v="0"/>
    <s v="U1300 R6.4 - NIC3"/>
    <s v="014 - QoS"/>
    <s v="QoS - Voltage failure detection"/>
    <x v="0"/>
    <s v="Not applicable to L&amp;G meters"/>
    <d v="2024-10-09T00:00:00"/>
    <d v="1899-12-30T09:09:10"/>
    <s v="N/A"/>
    <x v="5"/>
    <s v="knjuguna(Kamau Njuguna)"/>
    <x v="1"/>
    <s v="No Run"/>
    <x v="3"/>
    <s v="U1300 R6.4 - NIC3 - QoS - Voltage failure detection"/>
  </r>
  <r>
    <n v="79"/>
    <x v="0"/>
    <s v="U3400 R6.4 - NIC5"/>
    <s v="014 - QoS"/>
    <s v="Loss of phase supply on 3-phase meters"/>
    <x v="0"/>
    <s v=" "/>
    <d v="2024-10-09T00:00:00"/>
    <d v="1899-12-30T12:43:27"/>
    <s v="Passed"/>
    <x v="1"/>
    <s v="mkalra(Manoj Kalra)"/>
    <x v="0"/>
    <s v="Executed"/>
    <x v="0"/>
    <s v="U3400 R6.4 - NIC5 - Loss of phase supply on 3-phase meters"/>
  </r>
  <r>
    <n v="78"/>
    <x v="0"/>
    <s v="U3400 R6.4 - NIC5"/>
    <s v="014 - QoS"/>
    <s v="Loss of supply - threshold"/>
    <x v="0"/>
    <s v=" "/>
    <d v="2024-10-09T00:00:00"/>
    <d v="1899-12-30T16:48:56"/>
    <s v="Passed"/>
    <x v="1"/>
    <s v="mkalra(Manoj Kalra)"/>
    <x v="0"/>
    <s v="Executed"/>
    <x v="0"/>
    <s v="U3400 R6.4 - NIC5 - Loss of supply - threshold"/>
  </r>
  <r>
    <n v="120"/>
    <x v="0"/>
    <s v="U3400 R6.4 - NIC5"/>
    <s v="014 - QoS"/>
    <s v="Over temperature event - L&amp;G meters"/>
    <x v="1"/>
    <s v="This Test is performed on U1300 Meters"/>
    <d v="2024-10-15T00:00:00"/>
    <d v="1899-12-30T10:49:45"/>
    <s v="Not Completed"/>
    <x v="0"/>
    <s v="mkalra(Manoj Kalra)"/>
    <x v="0"/>
    <s v="RBT"/>
    <x v="0"/>
    <s v="U3400 R6.4 - NIC5 - Over temperature event - L&amp;G meters"/>
  </r>
  <r>
    <n v="146"/>
    <x v="0"/>
    <s v="U3400 R6.4 - NIC5"/>
    <s v="014 - QoS"/>
    <s v="QoS - Low PF detection"/>
    <x v="0"/>
    <s v=" "/>
    <d v="2024-10-11T00:00:00"/>
    <d v="1899-12-30T15:05:27"/>
    <s v="N/A"/>
    <x v="5"/>
    <s v="mkalra(Manoj Kalra)"/>
    <x v="0"/>
    <s v="No Run"/>
    <x v="3"/>
    <s v="U3400 R6.4 - NIC5 - QoS - Low PF detection"/>
  </r>
  <r>
    <n v="80"/>
    <x v="0"/>
    <s v="U3400 R6.4 - NIC5"/>
    <s v="014 - QoS"/>
    <s v="QoS - Overvoltage and Undervoltage"/>
    <x v="0"/>
    <s v=" "/>
    <d v="2024-10-09T00:00:00"/>
    <d v="1899-12-30T10:55:49"/>
    <s v="Passed"/>
    <x v="1"/>
    <s v="mkalra(Manoj Kalra)"/>
    <x v="0"/>
    <s v="Executed"/>
    <x v="0"/>
    <s v="U3400 R6.4 - NIC5 - QoS - Overvoltage and Undervoltage"/>
  </r>
  <r>
    <n v="145"/>
    <x v="0"/>
    <s v="U3400 R6.4 - NIC5"/>
    <s v="014 - QoS"/>
    <s v="QoS - Voltage failure detection"/>
    <x v="0"/>
    <s v=" "/>
    <d v="2024-10-09T00:00:00"/>
    <d v="1899-12-30T11:04:53"/>
    <s v="N/A"/>
    <x v="5"/>
    <s v="mkalra(Manoj Kalra)"/>
    <x v="0"/>
    <s v="No Run"/>
    <x v="3"/>
    <s v="U3400 R6.4 - NIC5 - QoS - Voltage failure detection"/>
  </r>
  <r>
    <n v="78"/>
    <x v="0"/>
    <s v="U1300 R6.4 - NIC5"/>
    <s v="014 - QoS"/>
    <s v="Loss of supply - threshold"/>
    <x v="0"/>
    <s v=" "/>
    <d v="2024-10-08T00:00:00"/>
    <d v="1899-12-30T14:41:53"/>
    <s v="Passed"/>
    <x v="1"/>
    <s v="knjuguna(Kamau Njuguna)"/>
    <x v="1"/>
    <s v="Executed"/>
    <x v="0"/>
    <s v="U1300 R6.4 - NIC5 - Loss of supply - threshold"/>
  </r>
  <r>
    <n v="120"/>
    <x v="0"/>
    <s v="U1300 R6.4 - NIC5"/>
    <s v="014 - QoS"/>
    <s v="Over temperature event - L&amp;G meters"/>
    <x v="1"/>
    <s v="NIC320 meter has been tested"/>
    <d v="2024-10-15T00:00:00"/>
    <d v="1899-12-30T11:52:39"/>
    <s v="Not Completed"/>
    <x v="0"/>
    <s v="knjuguna(Kamau Njuguna)"/>
    <x v="1"/>
    <s v="RBT"/>
    <x v="0"/>
    <s v="U1300 R6.4 - NIC5 - Over temperature event - L&amp;G meters"/>
  </r>
  <r>
    <n v="146"/>
    <x v="0"/>
    <s v="U1300 R6.4 - NIC5"/>
    <s v="014 - QoS"/>
    <s v="QoS - Low PF detection"/>
    <x v="0"/>
    <s v="Not applicable to L&amp;G meters"/>
    <d v="2024-10-09T00:00:00"/>
    <d v="1899-12-30T09:03:37"/>
    <s v="N/A"/>
    <x v="5"/>
    <s v="knjuguna(Kamau Njuguna)"/>
    <x v="1"/>
    <s v="No Run"/>
    <x v="3"/>
    <s v="U1300 R6.4 - NIC5 - QoS - Low PF detection"/>
  </r>
  <r>
    <n v="80"/>
    <x v="0"/>
    <s v="U1300 R6.4 - NIC5"/>
    <s v="014 - QoS"/>
    <s v="QoS - Overvoltage and Undervoltage"/>
    <x v="0"/>
    <s v=" "/>
    <d v="2024-10-07T00:00:00"/>
    <d v="1899-12-30T16:01:11"/>
    <s v="Passed"/>
    <x v="1"/>
    <s v="knjuguna(Kamau Njuguna)"/>
    <x v="1"/>
    <s v="Executed"/>
    <x v="0"/>
    <s v="U1300 R6.4 - NIC5 - QoS - Overvoltage and Undervoltage"/>
  </r>
  <r>
    <n v="145"/>
    <x v="0"/>
    <s v="U1300 R6.4 - NIC5"/>
    <s v="014 - QoS"/>
    <s v="QoS - Voltage failure detection"/>
    <x v="0"/>
    <s v="Not applicable to L&amp;G meters"/>
    <d v="2024-10-09T00:00:00"/>
    <d v="1899-12-30T09:11:40"/>
    <s v="N/A"/>
    <x v="5"/>
    <s v="knjuguna(Kamau Njuguna)"/>
    <x v="1"/>
    <s v="No Run"/>
    <x v="3"/>
    <s v="U1300 R6.4 - NIC5 - QoS - Voltage failure detection"/>
  </r>
  <r>
    <n v="77"/>
    <x v="0"/>
    <s v="U1300 R6.4 - NIC3"/>
    <s v="014 - QoS"/>
    <s v="Loss of supply - Verify last gasp for multiple meter outage"/>
    <x v="0"/>
    <s v=" "/>
    <d v="2024-10-09T00:00:00"/>
    <d v="1899-12-30T16:35:04"/>
    <s v="Passed"/>
    <x v="1"/>
    <s v="knjuguna(Kamau Njuguna)"/>
    <x v="1"/>
    <s v="Executed"/>
    <x v="0"/>
    <s v="U1300 R6.4 - NIC3 - Loss of supply - Verify last gasp for multiple meter outage"/>
  </r>
  <r>
    <n v="77"/>
    <x v="0"/>
    <s v="U1300 R6.4 - NIC5"/>
    <s v="014 - QoS"/>
    <s v="Loss of supply - Verify last gasp for multiple meter outage"/>
    <x v="0"/>
    <s v=" "/>
    <d v="2024-10-09T00:00:00"/>
    <d v="1899-12-30T16:25:19"/>
    <s v="Passed"/>
    <x v="1"/>
    <s v="knjuguna(Kamau Njuguna)"/>
    <x v="1"/>
    <s v="Executed"/>
    <x v="0"/>
    <s v="U1300 R6.4 - NIC5 - Loss of supply - Verify last gasp for multiple meter outage"/>
  </r>
  <r>
    <n v="77"/>
    <x v="0"/>
    <s v="U3400 R6.4 - NIC3"/>
    <s v="014 - QoS"/>
    <s v="Loss of supply - Verify last gasp for multiple meter outage"/>
    <x v="0"/>
    <s v=" "/>
    <d v="2024-10-10T00:00:00"/>
    <d v="1899-12-30T10:14:59"/>
    <s v="Passed"/>
    <x v="1"/>
    <s v="mkalra(Manoj Kalra)"/>
    <x v="0"/>
    <s v="Executed"/>
    <x v="0"/>
    <s v="U3400 R6.4 - NIC3 - Loss of supply - Verify last gasp for multiple meter outage"/>
  </r>
  <r>
    <n v="77"/>
    <x v="0"/>
    <s v="U3400 R6.4 - NIC5"/>
    <s v="014 - QoS"/>
    <s v="Loss of supply - Verify last gasp for multiple meter outage"/>
    <x v="0"/>
    <s v=" "/>
    <d v="2024-10-09T00:00:00"/>
    <d v="1899-12-30T17:27:54"/>
    <s v="Passed"/>
    <x v="1"/>
    <s v="mkalra(Manoj Kalra)"/>
    <x v="0"/>
    <s v="Executed"/>
    <x v="0"/>
    <s v="U3400 R6.4 - NIC5 - Loss of supply - Verify last gasp for multiple meter outage"/>
  </r>
  <r>
    <n v="148"/>
    <x v="0"/>
    <s v="U3400 R6.4 - NIC3"/>
    <s v="015 - SIQ"/>
    <s v="SIQ Profile Sanity Check"/>
    <x v="0"/>
    <s v=" "/>
    <d v="2024-10-10T00:00:00"/>
    <d v="1899-12-30T17:18:39"/>
    <s v="Passed"/>
    <x v="1"/>
    <s v="mkalra(Manoj Kalra)"/>
    <x v="0"/>
    <s v="Executed"/>
    <x v="0"/>
    <s v="U3400 R6.4 - NIC3 - SIQ Profile Sanity Check"/>
  </r>
  <r>
    <n v="148"/>
    <x v="0"/>
    <s v="U1300 R6.4 - NIC3"/>
    <s v="015 - SIQ"/>
    <s v="SIQ Profile Sanity Check"/>
    <x v="0"/>
    <s v=" "/>
    <d v="2024-10-09T00:00:00"/>
    <d v="1899-12-30T12:52:56"/>
    <s v="Passed"/>
    <x v="1"/>
    <s v="knjuguna(Kamau Njuguna)"/>
    <x v="1"/>
    <s v="Executed"/>
    <x v="0"/>
    <s v="U1300 R6.4 - NIC3 - SIQ Profile Sanity Check"/>
  </r>
  <r>
    <n v="148"/>
    <x v="0"/>
    <s v="U3400 R6.4 - NIC5"/>
    <s v="015 - SIQ"/>
    <s v="SIQ Profile Sanity Check"/>
    <x v="0"/>
    <s v=" "/>
    <d v="2024-10-10T00:00:00"/>
    <d v="1899-12-30T17:18:33"/>
    <s v="Passed"/>
    <x v="1"/>
    <s v="mkalra(Manoj Kalra)"/>
    <x v="0"/>
    <s v="Executed"/>
    <x v="0"/>
    <s v="U3400 R6.4 - NIC5 - SIQ Profile Sanity Check"/>
  </r>
  <r>
    <n v="148"/>
    <x v="0"/>
    <s v="U1300 R6.4 - NIC5"/>
    <s v="015 - SIQ"/>
    <s v="SIQ Profile Sanity Check"/>
    <x v="0"/>
    <s v=" "/>
    <d v="2024-10-09T00:00:00"/>
    <d v="1899-12-30T13:15:16"/>
    <s v="Passed"/>
    <x v="1"/>
    <s v="knjuguna(Kamau Njuguna)"/>
    <x v="1"/>
    <s v="Executed"/>
    <x v="0"/>
    <s v="U1300 R6.4 - NIC5 - SIQ Profile Sanity Check"/>
  </r>
  <r>
    <n v="106"/>
    <x v="0"/>
    <s v="U3400 R6.4 - NIC5"/>
    <s v="016 - HAN"/>
    <s v="HCM -  Display meter consumption on IHD"/>
    <x v="0"/>
    <s v=" "/>
    <d v="2024-10-14T00:00:00"/>
    <d v="1899-12-30T15:42:44"/>
    <s v="RBT"/>
    <x v="1"/>
    <s v="mkalra(Manoj Kalra)"/>
    <x v="0"/>
    <s v="Executed"/>
    <x v="0"/>
    <s v="U3400 R6.4 - NIC5 - HCM -  Display meter consumption on IHD"/>
  </r>
  <r>
    <n v="106"/>
    <x v="0"/>
    <s v="U3400 R6.4 - NIC3"/>
    <s v="016 - HAN"/>
    <s v="HCM -  Display meter consumption on IHD"/>
    <x v="0"/>
    <s v=" "/>
    <d v="2024-10-14T00:00:00"/>
    <d v="1899-12-30T15:06:19"/>
    <s v="RBT"/>
    <x v="6"/>
    <s v="mkalra(Manoj Kalra)"/>
    <x v="0"/>
    <s v="No Run"/>
    <x v="4"/>
    <s v="U3400 R6.4 - NIC3 - HCM -  Display meter consumption on IHD"/>
  </r>
  <r>
    <n v="106"/>
    <x v="0"/>
    <s v="U1300 R6.4 - NIC5"/>
    <s v="016 - HAN"/>
    <s v="HCM -  Display meter consumption on IHD"/>
    <x v="0"/>
    <s v="No appropriate meter with HAN certificate but passed on NIC320 meter"/>
    <d v="2024-10-15T00:00:00"/>
    <d v="1899-12-30T14:32:54"/>
    <s v="RBT"/>
    <x v="0"/>
    <s v="knjuguna(Kamau Njuguna)"/>
    <x v="1"/>
    <s v="RBT"/>
    <x v="0"/>
    <s v="U1300 R6.4 - NIC5 - HCM -  Display meter consumption on IHD"/>
  </r>
  <r>
    <n v="106"/>
    <x v="0"/>
    <s v="U1300 R6.4 - NIC3"/>
    <s v="016 - HAN"/>
    <s v="HCM -  Display meter consumption on IHD"/>
    <x v="0"/>
    <s v=" "/>
    <d v="2024-10-14T00:00:00"/>
    <d v="1899-12-30T15:16:09"/>
    <s v="RBT"/>
    <x v="1"/>
    <s v="knjuguna(Kamau Njuguna)"/>
    <x v="1"/>
    <s v="Executed"/>
    <x v="0"/>
    <s v="U1300 R6.4 - NIC3 - HCM -  Display meter consumption on IHD"/>
  </r>
  <r>
    <n v="104"/>
    <x v="0"/>
    <s v="U1300 R6.4 - NIC3"/>
    <s v="016 - HAN"/>
    <s v="HCM -  Support for 2E meters metering cluster"/>
    <x v="2"/>
    <s v=" "/>
    <d v="2024-09-24T00:00:00"/>
    <d v="1899-12-30T17:13:41"/>
    <s v="RBT"/>
    <x v="0"/>
    <s v="mkalra(Manoj Kalra)"/>
    <x v="1"/>
    <s v="RBT"/>
    <x v="0"/>
    <s v="U1300 R6.4 - NIC3 - HCM -  Support for 2E meters metering cluster"/>
  </r>
  <r>
    <n v="104"/>
    <x v="0"/>
    <s v="U1300 R6.4 - NIC5"/>
    <s v="016 - HAN"/>
    <s v="HCM -  Support for 2E meters metering cluster"/>
    <x v="2"/>
    <s v=" "/>
    <d v="2024-09-24T00:00:00"/>
    <d v="1899-12-30T17:15:24"/>
    <s v="RBT"/>
    <x v="0"/>
    <s v="mkalra(Manoj Kalra)"/>
    <x v="1"/>
    <s v="RBT"/>
    <x v="0"/>
    <s v="U1300 R6.4 - NIC5 - HCM -  Support for 2E meters metering cluster"/>
  </r>
  <r>
    <n v="104"/>
    <x v="0"/>
    <s v="U3400 R6.4 - NIC3"/>
    <s v="016 - HAN"/>
    <s v="HCM -  Support for 2E meters metering cluster"/>
    <x v="2"/>
    <s v=" "/>
    <d v="2024-09-24T00:00:00"/>
    <d v="1899-12-30T17:15:54"/>
    <s v="RBT"/>
    <x v="0"/>
    <s v="mkalra(Manoj Kalra)"/>
    <x v="0"/>
    <s v="RBT"/>
    <x v="0"/>
    <s v="U3400 R6.4 - NIC3 - HCM -  Support for 2E meters metering cluster"/>
  </r>
  <r>
    <n v="104"/>
    <x v="0"/>
    <s v="U3400 R6.4 - NIC5"/>
    <s v="016 - HAN"/>
    <s v="HCM -  Support for 2E meters metering cluster"/>
    <x v="2"/>
    <s v=" "/>
    <d v="2024-09-24T00:00:00"/>
    <d v="1899-12-30T17:17:17"/>
    <s v="RBT"/>
    <x v="0"/>
    <s v="mkalra(Manoj Kalra)"/>
    <x v="0"/>
    <s v="RBT"/>
    <x v="0"/>
    <s v="U3400 R6.4 - NIC5 - HCM -  Support for 2E meters metering cluster"/>
  </r>
  <r>
    <n v="93"/>
    <x v="0"/>
    <s v="U1300 R6.4 - NIC3"/>
    <s v="016 - HAN"/>
    <s v="HCM - Import IHD"/>
    <x v="1"/>
    <s v=" "/>
    <d v="2024-09-24T00:00:00"/>
    <d v="1899-12-30T17:14:11"/>
    <s v="RBT"/>
    <x v="0"/>
    <s v="mkalra(Manoj Kalra)"/>
    <x v="1"/>
    <s v="RBT"/>
    <x v="0"/>
    <s v="U1300 R6.4 - NIC3 - HCM - Import IHD"/>
  </r>
  <r>
    <n v="94"/>
    <x v="0"/>
    <s v="U1300 R6.4 - NIC3"/>
    <s v="016 - HAN"/>
    <s v="HCM - Import ESI"/>
    <x v="1"/>
    <s v=" "/>
    <d v="2024-09-24T00:00:00"/>
    <d v="1899-12-30T17:14:08"/>
    <s v="RBT"/>
    <x v="0"/>
    <s v="mkalra(Manoj Kalra)"/>
    <x v="1"/>
    <s v="RBT"/>
    <x v="0"/>
    <s v="U1300 R6.4 - NIC3 - HCM - Import ESI"/>
  </r>
  <r>
    <n v="95"/>
    <x v="0"/>
    <s v="U1300 R6.4 - NIC3"/>
    <s v="016 - HAN"/>
    <s v="HCM - Sync ESI"/>
    <x v="1"/>
    <s v=" "/>
    <d v="2024-09-24T00:00:00"/>
    <d v="1899-12-30T17:14:16"/>
    <s v="RBT"/>
    <x v="0"/>
    <s v="mkalra(Manoj Kalra)"/>
    <x v="1"/>
    <s v="RBT"/>
    <x v="0"/>
    <s v="U1300 R6.4 - NIC3 - HCM - Sync ESI"/>
  </r>
  <r>
    <n v="96"/>
    <x v="0"/>
    <s v="U1300 R6.4 - NIC3"/>
    <s v="016 - HAN"/>
    <s v="HCM - Provision ESI"/>
    <x v="1"/>
    <s v=" "/>
    <d v="2024-09-24T00:00:00"/>
    <d v="1899-12-30T17:14:14"/>
    <s v="RBT"/>
    <x v="0"/>
    <s v="mkalra(Manoj Kalra)"/>
    <x v="1"/>
    <s v="RBT"/>
    <x v="0"/>
    <s v="U1300 R6.4 - NIC3 - HCM - Provision ESI"/>
  </r>
  <r>
    <n v="97"/>
    <x v="0"/>
    <s v="U1300 R6.4 - NIC3"/>
    <s v="016 - HAN"/>
    <s v="HCM -  Associate IHD to ESI"/>
    <x v="1"/>
    <s v=" "/>
    <d v="2024-09-24T00:00:00"/>
    <d v="1899-12-30T17:13:48"/>
    <s v="RBT"/>
    <x v="0"/>
    <s v="mkalra(Manoj Kalra)"/>
    <x v="1"/>
    <s v="RBT"/>
    <x v="0"/>
    <s v="U1300 R6.4 - NIC3 - HCM -  Associate IHD to ESI"/>
  </r>
  <r>
    <n v="98"/>
    <x v="0"/>
    <s v="U1300 R6.4 - NIC3"/>
    <s v="016 - HAN"/>
    <s v="HCM -  Join IHD to ESI"/>
    <x v="1"/>
    <s v=" "/>
    <d v="2024-09-24T00:00:00"/>
    <d v="1899-12-30T17:14:00"/>
    <s v="RBT"/>
    <x v="0"/>
    <s v="mkalra(Manoj Kalra)"/>
    <x v="1"/>
    <s v="RBT"/>
    <x v="0"/>
    <s v="U1300 R6.4 - NIC3 - HCM -  Join IHD to ESI"/>
  </r>
  <r>
    <n v="99"/>
    <x v="0"/>
    <s v="U1300 R6.4 - NIC3"/>
    <s v="016 - HAN"/>
    <s v="HCM -  Ping IHD via ESI"/>
    <x v="1"/>
    <s v=" "/>
    <d v="2024-09-24T00:00:00"/>
    <d v="1899-12-30T17:14:03"/>
    <s v="RBT"/>
    <x v="0"/>
    <s v="mkalra(Manoj Kalra)"/>
    <x v="1"/>
    <s v="RBT"/>
    <x v="0"/>
    <s v="U1300 R6.4 - NIC3 - HCM -  Ping IHD via ESI"/>
  </r>
  <r>
    <n v="101"/>
    <x v="0"/>
    <s v="U1300 R6.4 - NIC3"/>
    <s v="016 - HAN"/>
    <s v="HCM -  Unjoin IHD to ESI"/>
    <x v="1"/>
    <s v=" "/>
    <d v="2024-09-24T00:00:00"/>
    <d v="1899-12-30T17:14:06"/>
    <s v="RBT"/>
    <x v="0"/>
    <s v="mkalra(Manoj Kalra)"/>
    <x v="1"/>
    <s v="RBT"/>
    <x v="0"/>
    <s v="U1300 R6.4 - NIC3 - HCM -  Unjoin IHD to ESI"/>
  </r>
  <r>
    <n v="102"/>
    <x v="0"/>
    <s v="U1300 R6.4 - NIC3"/>
    <s v="016 - HAN"/>
    <s v="HCM -  HAN secure key establishment"/>
    <x v="2"/>
    <s v=" "/>
    <d v="2024-09-24T00:00:00"/>
    <d v="1899-12-30T17:13:54"/>
    <s v="RBT"/>
    <x v="0"/>
    <s v="mkalra(Manoj Kalra)"/>
    <x v="1"/>
    <s v="RBT"/>
    <x v="0"/>
    <s v="U1300 R6.4 - NIC3 - HCM -  HAN secure key establishment"/>
  </r>
  <r>
    <n v="103"/>
    <x v="0"/>
    <s v="U1300 R6.4 - NIC3"/>
    <s v="016 - HAN"/>
    <s v="HCM -  Enroll ESI to HCM program"/>
    <x v="2"/>
    <s v=" "/>
    <d v="2024-09-24T00:00:00"/>
    <d v="1899-12-30T17:13:51"/>
    <s v="RBT"/>
    <x v="0"/>
    <s v="mkalra(Manoj Kalra)"/>
    <x v="1"/>
    <s v="RBT"/>
    <x v="0"/>
    <s v="U1300 R6.4 - NIC3 - HCM -  Enroll ESI to HCM program"/>
  </r>
  <r>
    <n v="105"/>
    <x v="0"/>
    <s v="U1300 R6.4 - NIC3"/>
    <s v="016 - HAN"/>
    <s v="NC -  HAN radio diagnostic commands"/>
    <x v="1"/>
    <s v=" "/>
    <d v="2024-09-24T00:00:00"/>
    <d v="1899-12-30T17:14:18"/>
    <s v="RBT"/>
    <x v="0"/>
    <s v="mkalra(Manoj Kalra)"/>
    <x v="1"/>
    <s v="RBT"/>
    <x v="0"/>
    <s v="U1300 R6.4 - NIC3 - NC -  HAN radio diagnostic commands"/>
  </r>
  <r>
    <n v="93"/>
    <x v="0"/>
    <s v="U1300 R6.4 - NIC5"/>
    <s v="016 - HAN"/>
    <s v="HCM - Import IHD"/>
    <x v="1"/>
    <s v=" "/>
    <d v="2024-09-24T00:00:00"/>
    <d v="1899-12-30T17:14:53"/>
    <s v="RBT"/>
    <x v="0"/>
    <s v="mkalra(Manoj Kalra)"/>
    <x v="1"/>
    <s v="RBT"/>
    <x v="0"/>
    <s v="U1300 R6.4 - NIC5 - HCM - Import IHD"/>
  </r>
  <r>
    <n v="94"/>
    <x v="0"/>
    <s v="U1300 R6.4 - NIC5"/>
    <s v="016 - HAN"/>
    <s v="HCM - Import ESI"/>
    <x v="1"/>
    <s v=" "/>
    <d v="2024-09-24T00:00:00"/>
    <d v="1899-12-30T17:15:02"/>
    <s v="RBT"/>
    <x v="0"/>
    <s v="mkalra(Manoj Kalra)"/>
    <x v="1"/>
    <s v="RBT"/>
    <x v="0"/>
    <s v="U1300 R6.4 - NIC5 - HCM - Import ESI"/>
  </r>
  <r>
    <n v="95"/>
    <x v="0"/>
    <s v="U1300 R6.4 - NIC5"/>
    <s v="016 - HAN"/>
    <s v="HCM - Sync ESI"/>
    <x v="1"/>
    <s v=" "/>
    <d v="2024-09-24T00:00:00"/>
    <d v="1899-12-30T17:15:14"/>
    <s v="RBT"/>
    <x v="0"/>
    <s v="mkalra(Manoj Kalra)"/>
    <x v="1"/>
    <s v="RBT"/>
    <x v="0"/>
    <s v="U1300 R6.4 - NIC5 - HCM - Sync ESI"/>
  </r>
  <r>
    <n v="96"/>
    <x v="0"/>
    <s v="U1300 R6.4 - NIC5"/>
    <s v="016 - HAN"/>
    <s v="HCM - Provision ESI"/>
    <x v="1"/>
    <s v=" "/>
    <d v="2024-09-24T00:00:00"/>
    <d v="1899-12-30T17:14:52"/>
    <s v="RBT"/>
    <x v="0"/>
    <s v="mkalra(Manoj Kalra)"/>
    <x v="1"/>
    <s v="RBT"/>
    <x v="0"/>
    <s v="U1300 R6.4 - NIC5 - HCM - Provision ESI"/>
  </r>
  <r>
    <n v="97"/>
    <x v="0"/>
    <s v="U1300 R6.4 - NIC5"/>
    <s v="016 - HAN"/>
    <s v="HCM -  Associate IHD to ESI"/>
    <x v="1"/>
    <s v=" "/>
    <d v="2024-09-24T00:00:00"/>
    <d v="1899-12-30T17:15:25"/>
    <s v="RBT"/>
    <x v="0"/>
    <s v="mkalra(Manoj Kalra)"/>
    <x v="1"/>
    <s v="RBT"/>
    <x v="0"/>
    <s v="U1300 R6.4 - NIC5 - HCM -  Associate IHD to ESI"/>
  </r>
  <r>
    <n v="98"/>
    <x v="0"/>
    <s v="U1300 R6.4 - NIC5"/>
    <s v="016 - HAN"/>
    <s v="HCM -  Join IHD to ESI"/>
    <x v="1"/>
    <s v=" "/>
    <d v="2024-09-24T00:00:00"/>
    <d v="1899-12-30T17:15:01"/>
    <s v="RBT"/>
    <x v="0"/>
    <s v="mkalra(Manoj Kalra)"/>
    <x v="1"/>
    <s v="RBT"/>
    <x v="0"/>
    <s v="U1300 R6.4 - NIC5 - HCM -  Join IHD to ESI"/>
  </r>
  <r>
    <n v="99"/>
    <x v="0"/>
    <s v="U1300 R6.4 - NIC5"/>
    <s v="016 - HAN"/>
    <s v="HCM -  Ping IHD via ESI"/>
    <x v="1"/>
    <s v=" "/>
    <d v="2024-09-24T00:00:00"/>
    <d v="1899-12-30T17:14:55"/>
    <s v="RBT"/>
    <x v="0"/>
    <s v="mkalra(Manoj Kalra)"/>
    <x v="1"/>
    <s v="RBT"/>
    <x v="0"/>
    <s v="U1300 R6.4 - NIC5 - HCM -  Ping IHD via ESI"/>
  </r>
  <r>
    <n v="101"/>
    <x v="0"/>
    <s v="U1300 R6.4 - NIC5"/>
    <s v="016 - HAN"/>
    <s v="HCM -  Unjoin IHD to ESI"/>
    <x v="1"/>
    <s v=" "/>
    <d v="2024-09-24T00:00:00"/>
    <d v="1899-12-30T17:14:54"/>
    <s v="RBT"/>
    <x v="0"/>
    <s v="mkalra(Manoj Kalra)"/>
    <x v="1"/>
    <s v="RBT"/>
    <x v="0"/>
    <s v="U1300 R6.4 - NIC5 - HCM -  Unjoin IHD to ESI"/>
  </r>
  <r>
    <n v="102"/>
    <x v="0"/>
    <s v="U1300 R6.4 - NIC5"/>
    <s v="016 - HAN"/>
    <s v="HCM -  HAN secure key establishment"/>
    <x v="2"/>
    <s v=" "/>
    <d v="2024-09-24T00:00:00"/>
    <d v="1899-12-30T17:14:57"/>
    <s v="RBT"/>
    <x v="0"/>
    <s v="mkalra(Manoj Kalra)"/>
    <x v="1"/>
    <s v="RBT"/>
    <x v="0"/>
    <s v="U1300 R6.4 - NIC5 - HCM -  HAN secure key establishment"/>
  </r>
  <r>
    <n v="103"/>
    <x v="0"/>
    <s v="U1300 R6.4 - NIC5"/>
    <s v="016 - HAN"/>
    <s v="HCM -  Enroll ESI to HCM program"/>
    <x v="2"/>
    <s v=" "/>
    <d v="2024-09-24T00:00:00"/>
    <d v="1899-12-30T17:14:59"/>
    <s v="RBT"/>
    <x v="0"/>
    <s v="mkalra(Manoj Kalra)"/>
    <x v="1"/>
    <s v="RBT"/>
    <x v="0"/>
    <s v="U1300 R6.4 - NIC5 - HCM -  Enroll ESI to HCM program"/>
  </r>
  <r>
    <n v="105"/>
    <x v="0"/>
    <s v="U1300 R6.4 - NIC5"/>
    <s v="016 - HAN"/>
    <s v="NC -  HAN radio diagnostic commands"/>
    <x v="1"/>
    <s v=" "/>
    <d v="2024-09-24T00:00:00"/>
    <d v="1899-12-30T17:14:50"/>
    <s v="RBT"/>
    <x v="0"/>
    <s v="mkalra(Manoj Kalra)"/>
    <x v="1"/>
    <s v="RBT"/>
    <x v="0"/>
    <s v="U1300 R6.4 - NIC5 - NC -  HAN radio diagnostic commands"/>
  </r>
  <r>
    <n v="93"/>
    <x v="0"/>
    <s v="U3400 R6.4 - NIC3"/>
    <s v="016 - HAN"/>
    <s v="HCM - Import IHD"/>
    <x v="1"/>
    <s v=" "/>
    <d v="2024-09-24T00:00:00"/>
    <d v="1899-12-30T17:16:04"/>
    <s v="RBT"/>
    <x v="0"/>
    <s v="mkalra(Manoj Kalra)"/>
    <x v="0"/>
    <s v="RBT"/>
    <x v="0"/>
    <s v="U3400 R6.4 - NIC3 - HCM - Import IHD"/>
  </r>
  <r>
    <n v="94"/>
    <x v="0"/>
    <s v="U3400 R6.4 - NIC3"/>
    <s v="016 - HAN"/>
    <s v="HCM - Import ESI"/>
    <x v="1"/>
    <s v=" "/>
    <d v="2024-09-24T00:00:00"/>
    <d v="1899-12-30T17:16:03"/>
    <s v="RBT"/>
    <x v="0"/>
    <s v="mkalra(Manoj Kalra)"/>
    <x v="0"/>
    <s v="RBT"/>
    <x v="0"/>
    <s v="U3400 R6.4 - NIC3 - HCM - Import ESI"/>
  </r>
  <r>
    <n v="95"/>
    <x v="0"/>
    <s v="U3400 R6.4 - NIC3"/>
    <s v="016 - HAN"/>
    <s v="HCM - Sync ESI"/>
    <x v="1"/>
    <s v=" "/>
    <d v="2024-09-24T00:00:00"/>
    <d v="1899-12-30T17:16:07"/>
    <s v="RBT"/>
    <x v="0"/>
    <s v="mkalra(Manoj Kalra)"/>
    <x v="0"/>
    <s v="RBT"/>
    <x v="0"/>
    <s v="U3400 R6.4 - NIC3 - HCM - Sync ESI"/>
  </r>
  <r>
    <n v="96"/>
    <x v="0"/>
    <s v="U3400 R6.4 - NIC3"/>
    <s v="016 - HAN"/>
    <s v="HCM - Provision ESI"/>
    <x v="1"/>
    <s v=" "/>
    <d v="2024-09-24T00:00:00"/>
    <d v="1899-12-30T17:16:06"/>
    <s v="RBT"/>
    <x v="0"/>
    <s v="mkalra(Manoj Kalra)"/>
    <x v="0"/>
    <s v="RBT"/>
    <x v="0"/>
    <s v="U3400 R6.4 - NIC3 - HCM - Provision ESI"/>
  </r>
  <r>
    <n v="97"/>
    <x v="0"/>
    <s v="U3400 R6.4 - NIC3"/>
    <s v="016 - HAN"/>
    <s v="HCM -  Associate IHD to ESI"/>
    <x v="1"/>
    <s v=" "/>
    <d v="2024-09-24T00:00:00"/>
    <d v="1899-12-30T17:15:55"/>
    <s v="RBT"/>
    <x v="0"/>
    <s v="mkalra(Manoj Kalra)"/>
    <x v="0"/>
    <s v="RBT"/>
    <x v="0"/>
    <s v="U3400 R6.4 - NIC3 - HCM -  Associate IHD to ESI"/>
  </r>
  <r>
    <n v="98"/>
    <x v="0"/>
    <s v="U3400 R6.4 - NIC3"/>
    <s v="016 - HAN"/>
    <s v="HCM -  Join IHD to ESI"/>
    <x v="1"/>
    <s v=" "/>
    <d v="2024-09-24T00:00:00"/>
    <d v="1899-12-30T17:15:59"/>
    <s v="RBT"/>
    <x v="0"/>
    <s v="mkalra(Manoj Kalra)"/>
    <x v="0"/>
    <s v="RBT"/>
    <x v="0"/>
    <s v="U3400 R6.4 - NIC3 - HCM -  Join IHD to ESI"/>
  </r>
  <r>
    <n v="99"/>
    <x v="0"/>
    <s v="U3400 R6.4 - NIC3"/>
    <s v="016 - HAN"/>
    <s v="HCM -  Ping IHD via ESI"/>
    <x v="1"/>
    <s v=" "/>
    <d v="2024-09-24T00:00:00"/>
    <d v="1899-12-30T17:16:16"/>
    <s v="RBT"/>
    <x v="0"/>
    <s v="mkalra(Manoj Kalra)"/>
    <x v="0"/>
    <s v="RBT"/>
    <x v="0"/>
    <s v="U3400 R6.4 - NIC3 - HCM -  Ping IHD via ESI"/>
  </r>
  <r>
    <n v="101"/>
    <x v="0"/>
    <s v="U3400 R6.4 - NIC3"/>
    <s v="016 - HAN"/>
    <s v="HCM -  Unjoin IHD to ESI"/>
    <x v="1"/>
    <s v=" "/>
    <d v="2024-09-24T00:00:00"/>
    <d v="1899-12-30T17:16:02"/>
    <s v="RBT"/>
    <x v="0"/>
    <s v="mkalra(Manoj Kalra)"/>
    <x v="0"/>
    <s v="RBT"/>
    <x v="0"/>
    <s v="U3400 R6.4 - NIC3 - HCM -  Unjoin IHD to ESI"/>
  </r>
  <r>
    <n v="102"/>
    <x v="0"/>
    <s v="U3400 R6.4 - NIC3"/>
    <s v="016 - HAN"/>
    <s v="HCM -  HAN secure key establishment"/>
    <x v="2"/>
    <s v=" "/>
    <d v="2024-09-24T00:00:00"/>
    <d v="1899-12-30T17:15:58"/>
    <s v="RBT"/>
    <x v="0"/>
    <s v="mkalra(Manoj Kalra)"/>
    <x v="0"/>
    <s v="RBT"/>
    <x v="0"/>
    <s v="U3400 R6.4 - NIC3 - HCM -  HAN secure key establishment"/>
  </r>
  <r>
    <n v="103"/>
    <x v="0"/>
    <s v="U3400 R6.4 - NIC3"/>
    <s v="016 - HAN"/>
    <s v="HCM -  Enroll ESI to HCM program"/>
    <x v="2"/>
    <s v=" "/>
    <d v="2024-09-24T00:00:00"/>
    <d v="1899-12-30T17:15:57"/>
    <s v="RBT"/>
    <x v="0"/>
    <s v="mkalra(Manoj Kalra)"/>
    <x v="0"/>
    <s v="RBT"/>
    <x v="0"/>
    <s v="U3400 R6.4 - NIC3 - HCM -  Enroll ESI to HCM program"/>
  </r>
  <r>
    <n v="105"/>
    <x v="0"/>
    <s v="U3400 R6.4 - NIC3"/>
    <s v="016 - HAN"/>
    <s v="NC -  HAN radio diagnostic commands"/>
    <x v="1"/>
    <s v=" "/>
    <d v="2024-09-24T00:00:00"/>
    <d v="1899-12-30T17:16:08"/>
    <s v="RBT"/>
    <x v="0"/>
    <s v="mkalra(Manoj Kalra)"/>
    <x v="0"/>
    <s v="RBT"/>
    <x v="0"/>
    <s v="U3400 R6.4 - NIC3 - NC -  HAN radio diagnostic commands"/>
  </r>
  <r>
    <n v="93"/>
    <x v="0"/>
    <s v="U3400 R6.4 - NIC5"/>
    <s v="016 - HAN"/>
    <s v="HCM - Import IHD"/>
    <x v="1"/>
    <s v=" "/>
    <d v="2024-09-24T00:00:00"/>
    <d v="1899-12-30T17:17:06"/>
    <s v="RBT"/>
    <x v="0"/>
    <s v="mkalra(Manoj Kalra)"/>
    <x v="0"/>
    <s v="RBT"/>
    <x v="0"/>
    <s v="U3400 R6.4 - NIC5 - HCM - Import IHD"/>
  </r>
  <r>
    <n v="94"/>
    <x v="0"/>
    <s v="U3400 R6.4 - NIC5"/>
    <s v="016 - HAN"/>
    <s v="HCM - Import ESI"/>
    <x v="1"/>
    <s v=" "/>
    <d v="2024-09-24T00:00:00"/>
    <d v="1899-12-30T17:17:08"/>
    <s v="RBT"/>
    <x v="0"/>
    <s v="mkalra(Manoj Kalra)"/>
    <x v="0"/>
    <s v="RBT"/>
    <x v="0"/>
    <s v="U3400 R6.4 - NIC5 - HCM - Import ESI"/>
  </r>
  <r>
    <n v="95"/>
    <x v="0"/>
    <s v="U3400 R6.4 - NIC5"/>
    <s v="016 - HAN"/>
    <s v="HCM - Sync ESI"/>
    <x v="1"/>
    <s v=" "/>
    <d v="2024-09-24T00:00:00"/>
    <d v="1899-12-30T17:17:04"/>
    <s v="RBT"/>
    <x v="0"/>
    <s v="mkalra(Manoj Kalra)"/>
    <x v="0"/>
    <s v="RBT"/>
    <x v="0"/>
    <s v="U3400 R6.4 - NIC5 - HCM - Sync ESI"/>
  </r>
  <r>
    <n v="96"/>
    <x v="0"/>
    <s v="U3400 R6.4 - NIC5"/>
    <s v="016 - HAN"/>
    <s v="HCM - Provision ESI"/>
    <x v="1"/>
    <s v=" "/>
    <d v="2024-09-24T00:00:00"/>
    <d v="1899-12-30T17:17:05"/>
    <s v="RBT"/>
    <x v="0"/>
    <s v="mkalra(Manoj Kalra)"/>
    <x v="0"/>
    <s v="RBT"/>
    <x v="0"/>
    <s v="U3400 R6.4 - NIC5 - HCM - Provision ESI"/>
  </r>
  <r>
    <n v="97"/>
    <x v="0"/>
    <s v="U3400 R6.4 - NIC5"/>
    <s v="016 - HAN"/>
    <s v="HCM -  Associate IHD to ESI"/>
    <x v="1"/>
    <s v=" "/>
    <d v="2024-09-24T00:00:00"/>
    <d v="1899-12-30T17:17:16"/>
    <s v="RBT"/>
    <x v="0"/>
    <s v="mkalra(Manoj Kalra)"/>
    <x v="0"/>
    <s v="RBT"/>
    <x v="0"/>
    <s v="U3400 R6.4 - NIC5 - HCM -  Associate IHD to ESI"/>
  </r>
  <r>
    <n v="98"/>
    <x v="0"/>
    <s v="U3400 R6.4 - NIC5"/>
    <s v="016 - HAN"/>
    <s v="HCM -  Join IHD to ESI"/>
    <x v="1"/>
    <s v=" "/>
    <d v="2024-09-24T00:00:00"/>
    <d v="1899-12-30T17:17:12"/>
    <s v="RBT"/>
    <x v="0"/>
    <s v="mkalra(Manoj Kalra)"/>
    <x v="0"/>
    <s v="RBT"/>
    <x v="0"/>
    <s v="U3400 R6.4 - NIC5 - HCM -  Join IHD to ESI"/>
  </r>
  <r>
    <n v="99"/>
    <x v="0"/>
    <s v="U3400 R6.4 - NIC5"/>
    <s v="016 - HAN"/>
    <s v="HCM -  Ping IHD via ESI"/>
    <x v="1"/>
    <s v=" "/>
    <d v="2024-09-24T00:00:00"/>
    <d v="1899-12-30T17:17:10"/>
    <s v="RBT"/>
    <x v="0"/>
    <s v="mkalra(Manoj Kalra)"/>
    <x v="0"/>
    <s v="RBT"/>
    <x v="0"/>
    <s v="U3400 R6.4 - NIC5 - HCM -  Ping IHD via ESI"/>
  </r>
  <r>
    <n v="101"/>
    <x v="0"/>
    <s v="U3400 R6.4 - NIC5"/>
    <s v="016 - HAN"/>
    <s v="HCM -  Unjoin IHD to ESI"/>
    <x v="1"/>
    <s v=" "/>
    <d v="2024-09-24T00:00:00"/>
    <d v="1899-12-30T17:17:09"/>
    <s v="RBT"/>
    <x v="0"/>
    <s v="mkalra(Manoj Kalra)"/>
    <x v="0"/>
    <s v="RBT"/>
    <x v="0"/>
    <s v="U3400 R6.4 - NIC5 - HCM -  Unjoin IHD to ESI"/>
  </r>
  <r>
    <n v="102"/>
    <x v="0"/>
    <s v="U3400 R6.4 - NIC5"/>
    <s v="016 - HAN"/>
    <s v="HCM -  HAN secure key establishment"/>
    <x v="2"/>
    <s v=" "/>
    <d v="2024-09-24T00:00:00"/>
    <d v="1899-12-30T17:17:13"/>
    <s v="RBT"/>
    <x v="0"/>
    <s v="mkalra(Manoj Kalra)"/>
    <x v="0"/>
    <s v="RBT"/>
    <x v="0"/>
    <s v="U3400 R6.4 - NIC5 - HCM -  HAN secure key establishment"/>
  </r>
  <r>
    <n v="103"/>
    <x v="0"/>
    <s v="U3400 R6.4 - NIC5"/>
    <s v="016 - HAN"/>
    <s v="HCM -  Enroll ESI to HCM program"/>
    <x v="2"/>
    <s v=" "/>
    <d v="2024-09-24T00:00:00"/>
    <d v="1899-12-30T17:17:14"/>
    <s v="RBT"/>
    <x v="0"/>
    <s v="mkalra(Manoj Kalra)"/>
    <x v="0"/>
    <s v="RBT"/>
    <x v="0"/>
    <s v="U3400 R6.4 - NIC5 - HCM -  Enroll ESI to HCM program"/>
  </r>
  <r>
    <n v="105"/>
    <x v="0"/>
    <s v="U3400 R6.4 - NIC5"/>
    <s v="016 - HAN"/>
    <s v="NC -  HAN radio diagnostic commands"/>
    <x v="1"/>
    <s v=" "/>
    <d v="2024-09-24T00:00:00"/>
    <d v="1899-12-30T17:17:02"/>
    <s v="RBT"/>
    <x v="0"/>
    <s v="mkalra(Manoj Kalra)"/>
    <x v="0"/>
    <s v="RBT"/>
    <x v="0"/>
    <s v="U3400 R6.4 - NIC5 - NC -  HAN radio diagnostic commands"/>
  </r>
  <r>
    <n v="83"/>
    <x v="0"/>
    <s v="U3400 R6.4 - NIC3"/>
    <s v="017 - Supply Capacity Control"/>
    <s v="ESCC Normal Operation - Active Meters"/>
    <x v="0"/>
    <s v=" "/>
    <d v="2024-10-04T00:00:00"/>
    <d v="1899-12-30T10:51:25"/>
    <s v="Passed"/>
    <x v="1"/>
    <s v="mkalra(Manoj Kalra)"/>
    <x v="0"/>
    <s v="Executed"/>
    <x v="0"/>
    <s v="U3400 R6.4 - NIC3 - ESCC Normal Operation - Active Meters"/>
  </r>
  <r>
    <n v="1695"/>
    <x v="0"/>
    <s v="U3400 R6.4 - NIC3"/>
    <s v="017 - Supply Capacity Control"/>
    <s v="ESCC Operation on Export"/>
    <x v="0"/>
    <s v=" "/>
    <d v="2024-10-07T00:00:00"/>
    <d v="1899-12-30T17:53:57"/>
    <s v="Passed"/>
    <x v="1"/>
    <s v="mkalra(Manoj Kalra)"/>
    <x v="0"/>
    <s v="Executed"/>
    <x v="0"/>
    <s v="U3400 R6.4 - NIC3 - ESCC Operation on Export"/>
  </r>
  <r>
    <n v="83"/>
    <x v="0"/>
    <s v="U1300 R6.4 - NIC3"/>
    <s v="017 - Supply Capacity Control"/>
    <s v="ESCC Normal Operation - Active Meters"/>
    <x v="0"/>
    <s v=" "/>
    <d v="2024-10-08T00:00:00"/>
    <d v="1899-12-30T16:18:21"/>
    <s v="Passed"/>
    <x v="1"/>
    <s v="knjuguna(Kamau Njuguna)"/>
    <x v="1"/>
    <s v="Executed"/>
    <x v="0"/>
    <s v="U1300 R6.4 - NIC3 - ESCC Normal Operation - Active Meters"/>
  </r>
  <r>
    <n v="1695"/>
    <x v="0"/>
    <s v="U1300 R6.4 - NIC3"/>
    <s v="017 - Supply Capacity Control"/>
    <s v="ESCC Operation on Export"/>
    <x v="0"/>
    <s v=" "/>
    <d v="2024-10-08T00:00:00"/>
    <d v="1899-12-30T16:41:40"/>
    <s v="Passed"/>
    <x v="1"/>
    <s v="knjuguna(Kamau Njuguna)"/>
    <x v="1"/>
    <s v="Executed"/>
    <x v="0"/>
    <s v="U1300 R6.4 - NIC3 - ESCC Operation on Export"/>
  </r>
  <r>
    <n v="83"/>
    <x v="0"/>
    <s v="U3400 R6.4 - NIC5"/>
    <s v="017 - Supply Capacity Control"/>
    <s v="ESCC Normal Operation - Active Meters"/>
    <x v="0"/>
    <s v=" "/>
    <d v="2024-10-04T00:00:00"/>
    <d v="1899-12-30T10:51:23"/>
    <s v="Passed"/>
    <x v="1"/>
    <s v="mkalra(Manoj Kalra)"/>
    <x v="0"/>
    <s v="Executed"/>
    <x v="0"/>
    <s v="U3400 R6.4 - NIC5 - ESCC Normal Operation - Active Meters"/>
  </r>
  <r>
    <n v="1695"/>
    <x v="0"/>
    <s v="U3400 R6.4 - NIC5"/>
    <s v="017 - Supply Capacity Control"/>
    <s v="ESCC Operation on Export"/>
    <x v="0"/>
    <s v=" "/>
    <d v="2024-10-07T00:00:00"/>
    <d v="1899-12-30T17:53:53"/>
    <s v="Passed"/>
    <x v="1"/>
    <s v="mkalra(Manoj Kalra)"/>
    <x v="0"/>
    <s v="Executed"/>
    <x v="0"/>
    <s v="U3400 R6.4 - NIC5 - ESCC Operation on Export"/>
  </r>
  <r>
    <n v="83"/>
    <x v="0"/>
    <s v="U1300 R6.4 - NIC5"/>
    <s v="017 - Supply Capacity Control"/>
    <s v="ESCC Normal Operation - Active Meters"/>
    <x v="0"/>
    <s v=" "/>
    <d v="2024-10-08T00:00:00"/>
    <d v="1899-12-30T16:19:14"/>
    <s v="Passed"/>
    <x v="1"/>
    <s v="knjuguna(Kamau Njuguna)"/>
    <x v="1"/>
    <s v="Executed"/>
    <x v="0"/>
    <s v="U1300 R6.4 - NIC5 - ESCC Normal Operation - Active Meters"/>
  </r>
  <r>
    <n v="1695"/>
    <x v="0"/>
    <s v="U1300 R6.4 - NIC5"/>
    <s v="017 - Supply Capacity Control"/>
    <s v="ESCC Operation on Export"/>
    <x v="0"/>
    <s v=" "/>
    <d v="2024-10-08T00:00:00"/>
    <d v="1899-12-30T16:42:22"/>
    <s v="Passed"/>
    <x v="1"/>
    <s v="knjuguna(Kamau Njuguna)"/>
    <x v="1"/>
    <s v="Executed"/>
    <x v="0"/>
    <s v="U1300 R6.4 - NIC5 - ESCC Operation on Export"/>
  </r>
  <r>
    <n v="84"/>
    <x v="0"/>
    <s v="U3400 R6.4 - NIC5"/>
    <s v="018 - Security"/>
    <s v="Meter tamper - terminal cover"/>
    <x v="0"/>
    <s v=" "/>
    <d v="2024-10-10T00:00:00"/>
    <d v="1899-12-30T12:32:51"/>
    <s v="Passed"/>
    <x v="1"/>
    <s v="mkalra(Manoj Kalra)"/>
    <x v="0"/>
    <s v="Executed"/>
    <x v="0"/>
    <s v="U3400 R6.4 - NIC5 - Meter tamper - terminal cover"/>
  </r>
  <r>
    <n v="84"/>
    <x v="0"/>
    <s v="U3400 R6.4 - NIC3"/>
    <s v="018 - Security"/>
    <s v="Meter tamper - terminal cover"/>
    <x v="0"/>
    <s v=" "/>
    <d v="2024-10-10T00:00:00"/>
    <d v="1899-12-30T12:32:00"/>
    <s v="Passed"/>
    <x v="1"/>
    <s v="mkalra(Manoj Kalra)"/>
    <x v="0"/>
    <s v="Executed"/>
    <x v="0"/>
    <s v="U3400 R6.4 - NIC3 - Meter tamper - terminal cover"/>
  </r>
  <r>
    <n v="84"/>
    <x v="0"/>
    <s v="U1300 R6.4 - NIC5"/>
    <s v="018 - Security"/>
    <s v="Meter tamper - terminal cover"/>
    <x v="0"/>
    <s v=" "/>
    <d v="2024-10-07T00:00:00"/>
    <d v="1899-12-30T16:31:35"/>
    <s v="Passed"/>
    <x v="1"/>
    <s v="knjuguna(Kamau Njuguna)"/>
    <x v="1"/>
    <s v="Executed"/>
    <x v="0"/>
    <s v="U1300 R6.4 - NIC5 - Meter tamper - terminal cover"/>
  </r>
  <r>
    <n v="84"/>
    <x v="0"/>
    <s v="U1300 R6.4 - NIC3"/>
    <s v="018 - Security"/>
    <s v="Meter tamper - terminal cover"/>
    <x v="0"/>
    <s v=" "/>
    <d v="2024-10-07T00:00:00"/>
    <d v="1899-12-30T16:30:27"/>
    <s v="Passed"/>
    <x v="1"/>
    <s v="knjuguna(Kamau Njuguna)"/>
    <x v="1"/>
    <s v="Executed"/>
    <x v="0"/>
    <s v="U1300 R6.4 - NIC3 - Meter tamper - terminal cover"/>
  </r>
  <r>
    <n v="1793"/>
    <x v="0"/>
    <s v="U3400 R6.4 - NIC3"/>
    <s v="020 - Broadcast"/>
    <s v="Broadcast - Load contactor connect via broadcast (immediate, no randomisation)"/>
    <x v="1"/>
    <s v=" "/>
    <d v="2024-10-04T00:00:00"/>
    <d v="1899-12-30T15:03:09"/>
    <s v="Passed"/>
    <x v="1"/>
    <s v="mkalra(Manoj Kalra)"/>
    <x v="0"/>
    <s v="Executed"/>
    <x v="0"/>
    <s v="U3400 R6.4 - NIC3 - Broadcast - Load contactor connect via broadcast (immediate, no randomisation)"/>
  </r>
  <r>
    <n v="1794"/>
    <x v="0"/>
    <s v="U3400 R6.4 - NIC3"/>
    <s v="020 - Broadcast"/>
    <s v="Broadcast - Load contactor connect via broadcast (immediate, randomisation)"/>
    <x v="1"/>
    <s v=" "/>
    <d v="2024-10-04T00:00:00"/>
    <d v="1899-12-30T15:29:15"/>
    <s v="Failed"/>
    <x v="2"/>
    <s v="mkalra(Manoj Kalra)"/>
    <x v="0"/>
    <s v="Executed"/>
    <x v="0"/>
    <s v="U3400 R6.4 - NIC3 - Broadcast - Load contactor connect via broadcast (immediate, randomisation)"/>
  </r>
  <r>
    <n v="1795"/>
    <x v="0"/>
    <s v="U3400 R6.4 - NIC3"/>
    <s v="020 - Broadcast"/>
    <s v="Broadcast - Load contactor connect via broadcast (scheduled, no randomisation)"/>
    <x v="1"/>
    <s v=" "/>
    <d v="2024-10-04T00:00:00"/>
    <d v="1899-12-30T15:49:20"/>
    <s v="Passed"/>
    <x v="1"/>
    <s v="mkalra(Manoj Kalra)"/>
    <x v="0"/>
    <s v="Executed"/>
    <x v="0"/>
    <s v="U3400 R6.4 - NIC3 - Broadcast - Load contactor connect via broadcast (scheduled, no randomisation)"/>
  </r>
  <r>
    <n v="1796"/>
    <x v="0"/>
    <s v="U3400 R6.4 - NIC3"/>
    <s v="020 - Broadcast"/>
    <s v="Broadcast - Load contactor disconnect via broadcast (immediate, no randomisation)"/>
    <x v="1"/>
    <s v=" "/>
    <d v="2024-10-07T00:00:00"/>
    <d v="1899-12-30T10:52:12"/>
    <s v="Passed"/>
    <x v="1"/>
    <s v="mkalra(Manoj Kalra)"/>
    <x v="0"/>
    <s v="Executed"/>
    <x v="0"/>
    <s v="U3400 R6.4 - NIC3 - Broadcast - Load contactor disconnect via broadcast (immediate, no randomisation)"/>
  </r>
  <r>
    <n v="1797"/>
    <x v="0"/>
    <s v="U3400 R6.4 - NIC3"/>
    <s v="020 - Broadcast"/>
    <s v="Broadcast - Load contactor disconnect via broadcast (immediate, randomisation)"/>
    <x v="1"/>
    <s v=" "/>
    <d v="2024-10-07T00:00:00"/>
    <d v="1899-12-30T11:15:15"/>
    <s v="Failed"/>
    <x v="2"/>
    <s v="mkalra(Manoj Kalra)"/>
    <x v="0"/>
    <s v="Executed"/>
    <x v="0"/>
    <s v="U3400 R6.4 - NIC3 - Broadcast - Load contactor disconnect via broadcast (immediate, randomisation)"/>
  </r>
  <r>
    <n v="1798"/>
    <x v="0"/>
    <s v="U3400 R6.4 - NIC3"/>
    <s v="020 - Broadcast"/>
    <s v="Broadcast - Load contactor disconnect via broadcast (scheduled, no randomisation)"/>
    <x v="1"/>
    <s v=" "/>
    <d v="2024-10-07T00:00:00"/>
    <d v="1899-12-30T11:42:24"/>
    <s v="Passed"/>
    <x v="1"/>
    <s v="mkalra(Manoj Kalra)"/>
    <x v="0"/>
    <s v="Executed"/>
    <x v="0"/>
    <s v="U3400 R6.4 - NIC3 - Broadcast - Load contactor disconnect via broadcast (scheduled, no randomisation)"/>
  </r>
  <r>
    <n v="129"/>
    <x v="0"/>
    <s v="U3400 R6.4 - NIC3"/>
    <s v="020 - Broadcast"/>
    <s v="Broadcast 01 - Broadcast Groups - UIQ to meter"/>
    <x v="1"/>
    <s v=" "/>
    <d v="2024-09-25T00:00:00"/>
    <d v="1899-12-30T11:58:42"/>
    <s v="Passed"/>
    <x v="1"/>
    <s v="mkalra(Manoj Kalra)"/>
    <x v="0"/>
    <s v="Executed"/>
    <x v="0"/>
    <s v="U3400 R6.4 - NIC3 - Broadcast 01 - Broadcast Groups - UIQ to meter"/>
  </r>
  <r>
    <n v="130"/>
    <x v="0"/>
    <s v="U3400 R6.4 - NIC3"/>
    <s v="020 - Broadcast"/>
    <s v="Broadcast 02 - Broadcast Groups - meter to UIQ"/>
    <x v="1"/>
    <s v=" "/>
    <d v="2024-09-25T00:00:00"/>
    <d v="1899-12-30T13:33:24"/>
    <s v="Passed"/>
    <x v="1"/>
    <s v="mkalra(Manoj Kalra)"/>
    <x v="0"/>
    <s v="Executed"/>
    <x v="0"/>
    <s v="U3400 R6.4 - NIC3 - Broadcast 02 - Broadcast Groups - meter to UIQ"/>
  </r>
  <r>
    <n v="137"/>
    <x v="0"/>
    <s v="U3400 R6.4 - NIC3"/>
    <s v="020 - Broadcast"/>
    <s v="Broadcast 08 - ESCC opeation via broadcast"/>
    <x v="1"/>
    <s v=" "/>
    <d v="2024-10-04T00:00:00"/>
    <d v="1899-12-30T13:03:58"/>
    <s v="Passed"/>
    <x v="1"/>
    <s v="mkalra(Manoj Kalra)"/>
    <x v="0"/>
    <s v="Executed"/>
    <x v="0"/>
    <s v="U3400 R6.4 - NIC3 - Broadcast 08 - ESCC opeation via broadcast"/>
  </r>
  <r>
    <n v="136"/>
    <x v="0"/>
    <s v="U3400 R6.4 - NIC3"/>
    <s v="020 - Broadcast"/>
    <s v="Broadcast 09 - Load contactor opeation via broadcast"/>
    <x v="1"/>
    <s v=" "/>
    <d v="2024-10-04T00:00:00"/>
    <d v="1899-12-30T14:28:22"/>
    <s v="Passed"/>
    <x v="1"/>
    <s v="mkalra(Manoj Kalra)"/>
    <x v="0"/>
    <s v="Executed"/>
    <x v="0"/>
    <s v="U3400 R6.4 - NIC3 - Broadcast 09 - Load contactor opeation via broadcast"/>
  </r>
  <r>
    <n v="1793"/>
    <x v="0"/>
    <s v="U1300 R6.4 - NIC3"/>
    <s v="020 - Broadcast"/>
    <s v="Broadcast - Load contactor connect via broadcast (immediate, no randomisation)"/>
    <x v="1"/>
    <s v=" "/>
    <d v="2024-09-26T00:00:00"/>
    <d v="1899-12-30T12:11:29"/>
    <s v="Passed"/>
    <x v="1"/>
    <s v="knjuguna(Kamau Njuguna)"/>
    <x v="1"/>
    <s v="Executed"/>
    <x v="0"/>
    <s v="U1300 R6.4 - NIC3 - Broadcast - Load contactor connect via broadcast (immediate, no randomisation)"/>
  </r>
  <r>
    <n v="1794"/>
    <x v="0"/>
    <s v="U1300 R6.4 - NIC3"/>
    <s v="020 - Broadcast"/>
    <s v="Broadcast - Load contactor connect via broadcast (immediate, randomisation)"/>
    <x v="1"/>
    <s v=" "/>
    <d v="2024-09-26T00:00:00"/>
    <d v="1899-12-30T13:10:39"/>
    <s v="Failed"/>
    <x v="2"/>
    <s v="knjuguna(Kamau Njuguna)"/>
    <x v="1"/>
    <s v="Executed"/>
    <x v="0"/>
    <s v="U1300 R6.4 - NIC3 - Broadcast - Load contactor connect via broadcast (immediate, randomisation)"/>
  </r>
  <r>
    <n v="1795"/>
    <x v="0"/>
    <s v="U1300 R6.4 - NIC3"/>
    <s v="020 - Broadcast"/>
    <s v="Broadcast - Load contactor connect via broadcast (scheduled, no randomisation)"/>
    <x v="1"/>
    <s v=" "/>
    <d v="2024-09-26T00:00:00"/>
    <d v="1899-12-30T14:11:05"/>
    <s v="Passed"/>
    <x v="1"/>
    <s v="knjuguna(Kamau Njuguna)"/>
    <x v="1"/>
    <s v="Executed"/>
    <x v="0"/>
    <s v="U1300 R6.4 - NIC3 - Broadcast - Load contactor connect via broadcast (scheduled, no randomisation)"/>
  </r>
  <r>
    <n v="1796"/>
    <x v="0"/>
    <s v="U1300 R6.4 - NIC3"/>
    <s v="020 - Broadcast"/>
    <s v="Broadcast - Load contactor disconnect via broadcast (immediate, no randomisation)"/>
    <x v="1"/>
    <s v=" "/>
    <d v="2024-09-30T00:00:00"/>
    <d v="1899-12-30T09:42:19"/>
    <s v="Passed"/>
    <x v="1"/>
    <s v="knjuguna(Kamau Njuguna)"/>
    <x v="1"/>
    <s v="Executed"/>
    <x v="0"/>
    <s v="U1300 R6.4 - NIC3 - Broadcast - Load contactor disconnect via broadcast (immediate, no randomisation)"/>
  </r>
  <r>
    <n v="1797"/>
    <x v="0"/>
    <s v="U1300 R6.4 - NIC3"/>
    <s v="020 - Broadcast"/>
    <s v="Broadcast - Load contactor disconnect via broadcast (immediate, randomisation)"/>
    <x v="1"/>
    <s v=" "/>
    <d v="2024-09-30T00:00:00"/>
    <d v="1899-12-30T10:12:29"/>
    <s v="Failed"/>
    <x v="2"/>
    <s v="knjuguna(Kamau Njuguna)"/>
    <x v="1"/>
    <s v="Executed"/>
    <x v="0"/>
    <s v="U1300 R6.4 - NIC3 - Broadcast - Load contactor disconnect via broadcast (immediate, randomisation)"/>
  </r>
  <r>
    <n v="1798"/>
    <x v="0"/>
    <s v="U1300 R6.4 - NIC3"/>
    <s v="020 - Broadcast"/>
    <s v="Broadcast - Load contactor disconnect via broadcast (scheduled, no randomisation)"/>
    <x v="1"/>
    <s v=" "/>
    <d v="2024-09-30T00:00:00"/>
    <d v="1899-12-30T10:43:50"/>
    <s v="Passed"/>
    <x v="1"/>
    <s v="knjuguna(Kamau Njuguna)"/>
    <x v="1"/>
    <s v="Executed"/>
    <x v="0"/>
    <s v="U1300 R6.4 - NIC3 - Broadcast - Load contactor disconnect via broadcast (scheduled, no randomisation)"/>
  </r>
  <r>
    <n v="129"/>
    <x v="0"/>
    <s v="U1300 R6.4 - NIC3"/>
    <s v="020 - Broadcast"/>
    <s v="Broadcast 01 - Broadcast Groups - UIQ to meter"/>
    <x v="1"/>
    <s v=" "/>
    <d v="2024-09-20T00:00:00"/>
    <d v="1899-12-30T16:50:31"/>
    <s v="Passed"/>
    <x v="1"/>
    <s v="knjuguna(Kamau Njuguna)"/>
    <x v="1"/>
    <s v="Executed"/>
    <x v="0"/>
    <s v="U1300 R6.4 - NIC3 - Broadcast 01 - Broadcast Groups - UIQ to meter"/>
  </r>
  <r>
    <n v="130"/>
    <x v="0"/>
    <s v="U1300 R6.4 - NIC3"/>
    <s v="020 - Broadcast"/>
    <s v="Broadcast 02 - Broadcast Groups - meter to UIQ"/>
    <x v="1"/>
    <s v=" "/>
    <d v="2024-09-26T00:00:00"/>
    <d v="1899-12-30T11:03:17"/>
    <s v="Passed"/>
    <x v="1"/>
    <s v="knjuguna(Kamau Njuguna)"/>
    <x v="1"/>
    <s v="Executed"/>
    <x v="0"/>
    <s v="U1300 R6.4 - NIC3 - Broadcast 02 - Broadcast Groups - meter to UIQ"/>
  </r>
  <r>
    <n v="137"/>
    <x v="0"/>
    <s v="U1300 R6.4 - NIC3"/>
    <s v="020 - Broadcast"/>
    <s v="Broadcast 08 - ESCC opeation via broadcast"/>
    <x v="1"/>
    <s v=" "/>
    <d v="2024-09-30T00:00:00"/>
    <d v="1899-12-30T12:02:11"/>
    <s v="Passed"/>
    <x v="1"/>
    <s v="knjuguna(Kamau Njuguna)"/>
    <x v="1"/>
    <s v="Executed"/>
    <x v="0"/>
    <s v="U1300 R6.4 - NIC3 - Broadcast 08 - ESCC opeation via broadcast"/>
  </r>
  <r>
    <n v="136"/>
    <x v="0"/>
    <s v="U1300 R6.4 - NIC3"/>
    <s v="020 - Broadcast"/>
    <s v="Broadcast 09 - Load contactor opeation via broadcast"/>
    <x v="1"/>
    <s v=" "/>
    <d v="2024-09-30T00:00:00"/>
    <d v="1899-12-30T17:12:41"/>
    <s v="Passed"/>
    <x v="1"/>
    <s v="knjuguna(Kamau Njuguna)"/>
    <x v="1"/>
    <s v="Executed"/>
    <x v="0"/>
    <s v="U1300 R6.4 - NIC3 - Broadcast 09 - Load contactor opeation via broadcast"/>
  </r>
  <r>
    <n v="1793"/>
    <x v="0"/>
    <s v="U3400 R6.4 - NIC5"/>
    <s v="020 - Broadcast"/>
    <s v="Broadcast - Load contactor connect via broadcast (immediate, no randomisation)"/>
    <x v="1"/>
    <s v=" "/>
    <d v="2024-10-04T00:00:00"/>
    <d v="1899-12-30T15:03:52"/>
    <s v="Passed"/>
    <x v="1"/>
    <s v="mkalra(Manoj Kalra)"/>
    <x v="0"/>
    <s v="Executed"/>
    <x v="0"/>
    <s v="U3400 R6.4 - NIC5 - Broadcast - Load contactor connect via broadcast (immediate, no randomisation)"/>
  </r>
  <r>
    <n v="1794"/>
    <x v="0"/>
    <s v="U3400 R6.4 - NIC5"/>
    <s v="020 - Broadcast"/>
    <s v="Broadcast - Load contactor connect via broadcast (immediate, randomisation)"/>
    <x v="1"/>
    <s v=" "/>
    <d v="2024-10-04T00:00:00"/>
    <d v="1899-12-30T15:28:28"/>
    <s v="Failed"/>
    <x v="2"/>
    <s v="mkalra(Manoj Kalra)"/>
    <x v="0"/>
    <s v="Executed"/>
    <x v="0"/>
    <s v="U3400 R6.4 - NIC5 - Broadcast - Load contactor connect via broadcast (immediate, randomisation)"/>
  </r>
  <r>
    <n v="1795"/>
    <x v="0"/>
    <s v="U3400 R6.4 - NIC5"/>
    <s v="020 - Broadcast"/>
    <s v="Broadcast - Load contactor connect via broadcast (scheduled, no randomisation)"/>
    <x v="1"/>
    <s v=" "/>
    <d v="2024-10-04T00:00:00"/>
    <d v="1899-12-30T15:49:03"/>
    <s v="Passed"/>
    <x v="1"/>
    <s v="mkalra(Manoj Kalra)"/>
    <x v="0"/>
    <s v="Executed"/>
    <x v="0"/>
    <s v="U3400 R6.4 - NIC5 - Broadcast - Load contactor connect via broadcast (scheduled, no randomisation)"/>
  </r>
  <r>
    <n v="1796"/>
    <x v="0"/>
    <s v="U3400 R6.4 - NIC5"/>
    <s v="020 - Broadcast"/>
    <s v="Broadcast - Load contactor disconnect via broadcast (immediate, no randomisation)"/>
    <x v="1"/>
    <s v=" "/>
    <d v="2024-10-07T00:00:00"/>
    <d v="1899-12-30T10:52:13"/>
    <s v="Passed"/>
    <x v="1"/>
    <s v="mkalra(Manoj Kalra)"/>
    <x v="0"/>
    <s v="Executed"/>
    <x v="0"/>
    <s v="U3400 R6.4 - NIC5 - Broadcast - Load contactor disconnect via broadcast (immediate, no randomisation)"/>
  </r>
  <r>
    <n v="1797"/>
    <x v="0"/>
    <s v="U3400 R6.4 - NIC5"/>
    <s v="020 - Broadcast"/>
    <s v="Broadcast - Load contactor disconnect via broadcast (immediate, randomisation)"/>
    <x v="1"/>
    <s v=" "/>
    <d v="2024-10-07T00:00:00"/>
    <d v="1899-12-30T11:15:12"/>
    <s v="Failed"/>
    <x v="2"/>
    <s v="mkalra(Manoj Kalra)"/>
    <x v="0"/>
    <s v="Executed"/>
    <x v="0"/>
    <s v="U3400 R6.4 - NIC5 - Broadcast - Load contactor disconnect via broadcast (immediate, randomisation)"/>
  </r>
  <r>
    <n v="1798"/>
    <x v="0"/>
    <s v="U3400 R6.4 - NIC5"/>
    <s v="020 - Broadcast"/>
    <s v="Broadcast - Load contactor disconnect via broadcast (scheduled, no randomisation)"/>
    <x v="1"/>
    <s v=" "/>
    <d v="2024-10-07T00:00:00"/>
    <d v="1899-12-30T11:42:26"/>
    <s v="Passed"/>
    <x v="1"/>
    <s v="mkalra(Manoj Kalra)"/>
    <x v="0"/>
    <s v="Executed"/>
    <x v="0"/>
    <s v="U3400 R6.4 - NIC5 - Broadcast - Load contactor disconnect via broadcast (scheduled, no randomisation)"/>
  </r>
  <r>
    <n v="129"/>
    <x v="0"/>
    <s v="U3400 R6.4 - NIC5"/>
    <s v="020 - Broadcast"/>
    <s v="Broadcast 01 - Broadcast Groups - UIQ to meter"/>
    <x v="1"/>
    <s v=" "/>
    <d v="2024-09-25T00:00:00"/>
    <d v="1899-12-30T11:59:45"/>
    <s v="Passed"/>
    <x v="1"/>
    <s v="mkalra(Manoj Kalra)"/>
    <x v="0"/>
    <s v="Executed"/>
    <x v="0"/>
    <s v="U3400 R6.4 - NIC5 - Broadcast 01 - Broadcast Groups - UIQ to meter"/>
  </r>
  <r>
    <n v="130"/>
    <x v="0"/>
    <s v="U3400 R6.4 - NIC5"/>
    <s v="020 - Broadcast"/>
    <s v="Broadcast 02 - Broadcast Groups - meter to UIQ"/>
    <x v="1"/>
    <s v=" "/>
    <d v="2024-09-25T00:00:00"/>
    <d v="1899-12-30T13:33:20"/>
    <s v="Passed"/>
    <x v="1"/>
    <s v="mkalra(Manoj Kalra)"/>
    <x v="0"/>
    <s v="Executed"/>
    <x v="0"/>
    <s v="U3400 R6.4 - NIC5 - Broadcast 02 - Broadcast Groups - meter to UIQ"/>
  </r>
  <r>
    <n v="137"/>
    <x v="0"/>
    <s v="U3400 R6.4 - NIC5"/>
    <s v="020 - Broadcast"/>
    <s v="Broadcast 08 - ESCC opeation via broadcast"/>
    <x v="1"/>
    <s v=" "/>
    <d v="2024-10-04T00:00:00"/>
    <d v="1899-12-30T13:03:53"/>
    <s v="Passed"/>
    <x v="1"/>
    <s v="mkalra(Manoj Kalra)"/>
    <x v="0"/>
    <s v="Executed"/>
    <x v="0"/>
    <s v="U3400 R6.4 - NIC5 - Broadcast 08 - ESCC opeation via broadcast"/>
  </r>
  <r>
    <n v="136"/>
    <x v="0"/>
    <s v="U3400 R6.4 - NIC5"/>
    <s v="020 - Broadcast"/>
    <s v="Broadcast 09 - Load contactor opeation via broadcast"/>
    <x v="1"/>
    <s v=" "/>
    <d v="2024-10-04T00:00:00"/>
    <d v="1899-12-30T14:28:17"/>
    <s v="Passed"/>
    <x v="1"/>
    <s v="mkalra(Manoj Kalra)"/>
    <x v="0"/>
    <s v="Executed"/>
    <x v="0"/>
    <s v="U3400 R6.4 - NIC5 - Broadcast 09 - Load contactor opeation via broadcast"/>
  </r>
  <r>
    <n v="1793"/>
    <x v="0"/>
    <s v="U1300 R6.4 - NIC5"/>
    <s v="020 - Broadcast"/>
    <s v="Broadcast - Load contactor connect via broadcast (immediate, no randomisation)"/>
    <x v="1"/>
    <s v=" "/>
    <d v="2024-09-26T00:00:00"/>
    <d v="1899-12-30T12:15:02"/>
    <s v="Passed"/>
    <x v="1"/>
    <s v="knjuguna(Kamau Njuguna)"/>
    <x v="1"/>
    <s v="Executed"/>
    <x v="0"/>
    <s v="U1300 R6.4 - NIC5 - Broadcast - Load contactor connect via broadcast (immediate, no randomisation)"/>
  </r>
  <r>
    <n v="1794"/>
    <x v="0"/>
    <s v="U1300 R6.4 - NIC5"/>
    <s v="020 - Broadcast"/>
    <s v="Broadcast - Load contactor connect via broadcast (immediate, randomisation)"/>
    <x v="1"/>
    <s v=" "/>
    <d v="2024-09-26T00:00:00"/>
    <d v="1899-12-30T13:10:13"/>
    <s v="Failed"/>
    <x v="2"/>
    <s v="knjuguna(Kamau Njuguna)"/>
    <x v="1"/>
    <s v="Executed"/>
    <x v="0"/>
    <s v="U1300 R6.4 - NIC5 - Broadcast - Load contactor connect via broadcast (immediate, randomisation)"/>
  </r>
  <r>
    <n v="1795"/>
    <x v="0"/>
    <s v="U1300 R6.4 - NIC5"/>
    <s v="020 - Broadcast"/>
    <s v="Broadcast - Load contactor connect via broadcast (scheduled, no randomisation)"/>
    <x v="1"/>
    <s v=" "/>
    <d v="2024-09-26T00:00:00"/>
    <d v="1899-12-30T14:13:31"/>
    <s v="Passed"/>
    <x v="1"/>
    <s v="knjuguna(Kamau Njuguna)"/>
    <x v="1"/>
    <s v="Executed"/>
    <x v="0"/>
    <s v="U1300 R6.4 - NIC5 - Broadcast - Load contactor connect via broadcast (scheduled, no randomisation)"/>
  </r>
  <r>
    <n v="1796"/>
    <x v="0"/>
    <s v="U1300 R6.4 - NIC5"/>
    <s v="020 - Broadcast"/>
    <s v="Broadcast - Load contactor disconnect via broadcast (immediate, no randomisation)"/>
    <x v="1"/>
    <s v=" "/>
    <d v="2024-09-30T00:00:00"/>
    <d v="1899-12-30T09:43:16"/>
    <s v="Passed"/>
    <x v="1"/>
    <s v="knjuguna(Kamau Njuguna)"/>
    <x v="1"/>
    <s v="Executed"/>
    <x v="0"/>
    <s v="U1300 R6.4 - NIC5 - Broadcast - Load contactor disconnect via broadcast (immediate, no randomisation)"/>
  </r>
  <r>
    <n v="1797"/>
    <x v="0"/>
    <s v="U1300 R6.4 - NIC5"/>
    <s v="020 - Broadcast"/>
    <s v="Broadcast - Load contactor disconnect via broadcast (immediate, randomisation)"/>
    <x v="1"/>
    <s v=" "/>
    <d v="2024-10-16T00:00:00"/>
    <d v="1899-12-30T14:39:01"/>
    <s v="Failed"/>
    <x v="2"/>
    <s v="knjuguna(Kamau Njuguna)"/>
    <x v="1"/>
    <s v="Executed"/>
    <x v="0"/>
    <s v="U1300 R6.4 - NIC5 - Broadcast - Load contactor disconnect via broadcast (immediate, randomisation)"/>
  </r>
  <r>
    <n v="1798"/>
    <x v="0"/>
    <s v="U1300 R6.4 - NIC5"/>
    <s v="020 - Broadcast"/>
    <s v="Broadcast - Load contactor disconnect via broadcast (scheduled, no randomisation)"/>
    <x v="1"/>
    <s v=" "/>
    <d v="2024-09-30T00:00:00"/>
    <d v="1899-12-30T10:42:09"/>
    <s v="Passed"/>
    <x v="1"/>
    <s v="knjuguna(Kamau Njuguna)"/>
    <x v="1"/>
    <s v="Executed"/>
    <x v="0"/>
    <s v="U1300 R6.4 - NIC5 - Broadcast - Load contactor disconnect via broadcast (scheduled, no randomisation)"/>
  </r>
  <r>
    <n v="129"/>
    <x v="0"/>
    <s v="U1300 R6.4 - NIC5"/>
    <s v="020 - Broadcast"/>
    <s v="Broadcast 01 - Broadcast Groups - UIQ to meter"/>
    <x v="1"/>
    <s v=" "/>
    <d v="2024-09-20T00:00:00"/>
    <d v="1899-12-30T16:37:23"/>
    <s v="Passed"/>
    <x v="1"/>
    <s v="knjuguna(Kamau Njuguna)"/>
    <x v="1"/>
    <s v="Executed"/>
    <x v="0"/>
    <s v="U1300 R6.4 - NIC5 - Broadcast 01 - Broadcast Groups - UIQ to meter"/>
  </r>
  <r>
    <n v="130"/>
    <x v="0"/>
    <s v="U1300 R6.4 - NIC5"/>
    <s v="020 - Broadcast"/>
    <s v="Broadcast 02 - Broadcast Groups - meter to UIQ"/>
    <x v="1"/>
    <s v=" "/>
    <d v="2024-09-26T00:00:00"/>
    <d v="1899-12-30T11:02:34"/>
    <s v="Passed"/>
    <x v="1"/>
    <s v="knjuguna(Kamau Njuguna)"/>
    <x v="1"/>
    <s v="Executed"/>
    <x v="0"/>
    <s v="U1300 R6.4 - NIC5 - Broadcast 02 - Broadcast Groups - meter to UIQ"/>
  </r>
  <r>
    <n v="137"/>
    <x v="0"/>
    <s v="U1300 R6.4 - NIC5"/>
    <s v="020 - Broadcast"/>
    <s v="Broadcast 08 - ESCC opeation via broadcast"/>
    <x v="1"/>
    <s v=" "/>
    <d v="2024-09-30T00:00:00"/>
    <d v="1899-12-30T12:02:57"/>
    <s v="Passed"/>
    <x v="1"/>
    <s v="knjuguna(Kamau Njuguna)"/>
    <x v="1"/>
    <s v="Executed"/>
    <x v="0"/>
    <s v="U1300 R6.4 - NIC5 - Broadcast 08 - ESCC opeation via broadcast"/>
  </r>
  <r>
    <n v="136"/>
    <x v="0"/>
    <s v="U1300 R6.4 - NIC5"/>
    <s v="020 - Broadcast"/>
    <s v="Broadcast 09 - Load contactor opeation via broadcast"/>
    <x v="1"/>
    <s v=" "/>
    <d v="2024-09-30T00:00:00"/>
    <d v="1899-12-30T17:12:32"/>
    <s v="Passed"/>
    <x v="1"/>
    <s v="knjuguna(Kamau Njuguna)"/>
    <x v="1"/>
    <s v="Executed"/>
    <x v="0"/>
    <s v="U1300 R6.4 - NIC5 - Broadcast 09 - Load contactor opeation via broadcast"/>
  </r>
  <r>
    <n v="132"/>
    <x v="0"/>
    <s v="U1300 R6.4 - NIC3"/>
    <s v="020 - Broadcast"/>
    <s v="Broadcast 04 - Confirm the range of broadcast groups"/>
    <x v="1"/>
    <s v=" "/>
    <d v="2024-10-08T00:00:00"/>
    <d v="1899-12-30T17:08:04"/>
    <s v="Passed"/>
    <x v="1"/>
    <s v="knjuguna(Kamau Njuguna)"/>
    <x v="1"/>
    <s v="Executed"/>
    <x v="0"/>
    <s v="U1300 R6.4 - NIC3 - Broadcast 04 - Confirm the range of broadcast groups"/>
  </r>
  <r>
    <n v="132"/>
    <x v="0"/>
    <s v="U1300 R6.4 - NIC5"/>
    <s v="020 - Broadcast"/>
    <s v="Broadcast 04 - Confirm the range of broadcast groups"/>
    <x v="1"/>
    <s v=" "/>
    <d v="2024-10-08T00:00:00"/>
    <d v="1899-12-30T17:07:54"/>
    <s v="Passed"/>
    <x v="1"/>
    <s v="knjuguna(Kamau Njuguna)"/>
    <x v="1"/>
    <s v="Executed"/>
    <x v="0"/>
    <s v="U1300 R6.4 - NIC5 - Broadcast 04 - Confirm the range of broadcast groups"/>
  </r>
  <r>
    <n v="132"/>
    <x v="0"/>
    <s v="U3400 R6.4 - NIC3"/>
    <s v="020 - Broadcast"/>
    <s v="Broadcast 04 - Confirm the range of broadcast groups"/>
    <x v="1"/>
    <s v=" "/>
    <d v="2024-09-25T00:00:00"/>
    <d v="1899-12-30T13:44:40"/>
    <s v="Passed"/>
    <x v="1"/>
    <s v="mkalra(Manoj Kalra)"/>
    <x v="0"/>
    <s v="Executed"/>
    <x v="0"/>
    <s v="U3400 R6.4 - NIC3 - Broadcast 04 - Confirm the range of broadcast groups"/>
  </r>
  <r>
    <n v="132"/>
    <x v="0"/>
    <s v="U3400 R6.4 - NIC5"/>
    <s v="020 - Broadcast"/>
    <s v="Broadcast 04 - Confirm the range of broadcast groups"/>
    <x v="1"/>
    <s v=" "/>
    <d v="2024-09-25T00:00:00"/>
    <d v="1899-12-30T13:44:37"/>
    <s v="Passed"/>
    <x v="1"/>
    <s v="mkalra(Manoj Kalra)"/>
    <x v="0"/>
    <s v="Executed"/>
    <x v="0"/>
    <s v="U3400 R6.4 - NIC5 - Broadcast 04 - Confirm the range of broadcast groups"/>
  </r>
  <r>
    <n v="133"/>
    <x v="0"/>
    <s v="U3400 R6.4 - NIC5"/>
    <s v="020 - Broadcast"/>
    <s v="Broadcast 05 - Broadcast cert upload via netmgr"/>
    <x v="1"/>
    <s v=" "/>
    <d v="2024-09-24T00:00:00"/>
    <d v="1899-12-30T17:17:21"/>
    <s v="RBT"/>
    <x v="0"/>
    <s v="mkalra(Manoj Kalra)"/>
    <x v="0"/>
    <s v="RBT"/>
    <x v="0"/>
    <s v="U3400 R6.4 - NIC5 - Broadcast 05 - Broadcast cert upload via netmgr"/>
  </r>
  <r>
    <n v="134"/>
    <x v="0"/>
    <s v="U3400 R6.4 - NIC5"/>
    <s v="020 - Broadcast"/>
    <s v="Broadcast 07 - Broadcast cert upload via Network Centre"/>
    <x v="1"/>
    <s v=" "/>
    <d v="2024-09-24T00:00:00"/>
    <d v="1899-12-30T17:17:19"/>
    <s v="RBT"/>
    <x v="0"/>
    <s v="mkalra(Manoj Kalra)"/>
    <x v="0"/>
    <s v="RBT"/>
    <x v="0"/>
    <s v="U3400 R6.4 - NIC5 - Broadcast 07 - Broadcast cert upload via Network Centre"/>
  </r>
  <r>
    <n v="135"/>
    <x v="0"/>
    <s v="U3400 R6.4 - NIC5"/>
    <s v="020 - Broadcast"/>
    <s v="Broadcast 06 - Broadcast cert upload via FSU"/>
    <x v="1"/>
    <s v=" "/>
    <d v="2024-09-24T00:00:00"/>
    <d v="1899-12-30T17:17:26"/>
    <s v="RBT"/>
    <x v="0"/>
    <s v="mkalra(Manoj Kalra)"/>
    <x v="0"/>
    <s v="RBT"/>
    <x v="0"/>
    <s v="U3400 R6.4 - NIC5 - Broadcast 06 - Broadcast cert upload via FSU"/>
  </r>
  <r>
    <n v="133"/>
    <x v="0"/>
    <s v="U3400 R6.4 - NIC3"/>
    <s v="020 - Broadcast"/>
    <s v="Broadcast 05 - Broadcast cert upload via netmgr"/>
    <x v="1"/>
    <s v=" "/>
    <d v="2024-09-24T00:00:00"/>
    <d v="1899-12-30T17:16:18"/>
    <s v="RBT"/>
    <x v="0"/>
    <s v="mkalra(Manoj Kalra)"/>
    <x v="0"/>
    <s v="RBT"/>
    <x v="0"/>
    <s v="U3400 R6.4 - NIC3 - Broadcast 05 - Broadcast cert upload via netmgr"/>
  </r>
  <r>
    <n v="134"/>
    <x v="0"/>
    <s v="U3400 R6.4 - NIC3"/>
    <s v="020 - Broadcast"/>
    <s v="Broadcast 07 - Broadcast cert upload via Network Centre"/>
    <x v="1"/>
    <s v=" "/>
    <d v="2024-09-24T00:00:00"/>
    <d v="1899-12-30T17:15:53"/>
    <s v="RBT"/>
    <x v="0"/>
    <s v="mkalra(Manoj Kalra)"/>
    <x v="0"/>
    <s v="RBT"/>
    <x v="0"/>
    <s v="U3400 R6.4 - NIC3 - Broadcast 07 - Broadcast cert upload via Network Centre"/>
  </r>
  <r>
    <n v="135"/>
    <x v="0"/>
    <s v="U3400 R6.4 - NIC3"/>
    <s v="020 - Broadcast"/>
    <s v="Broadcast 06 - Broadcast cert upload via FSU"/>
    <x v="1"/>
    <s v=" "/>
    <d v="2024-09-24T00:00:00"/>
    <d v="1899-12-30T17:15:51"/>
    <s v="RBT"/>
    <x v="0"/>
    <s v="mkalra(Manoj Kalra)"/>
    <x v="0"/>
    <s v="RBT"/>
    <x v="0"/>
    <s v="U3400 R6.4 - NIC3 - Broadcast 06 - Broadcast cert upload via FSU"/>
  </r>
  <r>
    <n v="133"/>
    <x v="0"/>
    <s v="U1300 R6.4 - NIC5"/>
    <s v="020 - Broadcast"/>
    <s v="Broadcast 05 - Broadcast cert upload via netmgr"/>
    <x v="1"/>
    <s v=" "/>
    <d v="2024-09-24T00:00:00"/>
    <d v="1899-12-30T17:15:20"/>
    <s v="RBT"/>
    <x v="0"/>
    <s v="mkalra(Manoj Kalra)"/>
    <x v="1"/>
    <s v="RBT"/>
    <x v="0"/>
    <s v="U1300 R6.4 - NIC5 - Broadcast 05 - Broadcast cert upload via netmgr"/>
  </r>
  <r>
    <n v="134"/>
    <x v="0"/>
    <s v="U1300 R6.4 - NIC5"/>
    <s v="020 - Broadcast"/>
    <s v="Broadcast 07 - Broadcast cert upload via Network Centre"/>
    <x v="1"/>
    <s v=" "/>
    <d v="2024-09-24T00:00:00"/>
    <d v="1899-12-30T17:15:23"/>
    <s v="RBT"/>
    <x v="0"/>
    <s v="mkalra(Manoj Kalra)"/>
    <x v="1"/>
    <s v="RBT"/>
    <x v="0"/>
    <s v="U1300 R6.4 - NIC5 - Broadcast 07 - Broadcast cert upload via Network Centre"/>
  </r>
  <r>
    <n v="135"/>
    <x v="0"/>
    <s v="U1300 R6.4 - NIC5"/>
    <s v="020 - Broadcast"/>
    <s v="Broadcast 06 - Broadcast cert upload via FSU"/>
    <x v="1"/>
    <s v=" "/>
    <d v="2024-09-24T00:00:00"/>
    <d v="1899-12-30T17:15:29"/>
    <s v="RBT"/>
    <x v="0"/>
    <s v="mkalra(Manoj Kalra)"/>
    <x v="1"/>
    <s v="RBT"/>
    <x v="0"/>
    <s v="U1300 R6.4 - NIC5 - Broadcast 06 - Broadcast cert upload via FSU"/>
  </r>
  <r>
    <n v="133"/>
    <x v="0"/>
    <s v="U1300 R6.4 - NIC3"/>
    <s v="020 - Broadcast"/>
    <s v="Broadcast 05 - Broadcast cert upload via netmgr"/>
    <x v="1"/>
    <s v=" "/>
    <d v="2024-09-24T00:00:00"/>
    <d v="1899-12-30T17:13:27"/>
    <s v="RBT"/>
    <x v="0"/>
    <s v="mkalra(Manoj Kalra)"/>
    <x v="1"/>
    <s v="RBT"/>
    <x v="0"/>
    <s v="U1300 R6.4 - NIC3 - Broadcast 05 - Broadcast cert upload via netmgr"/>
  </r>
  <r>
    <n v="134"/>
    <x v="0"/>
    <s v="U1300 R6.4 - NIC3"/>
    <s v="020 - Broadcast"/>
    <s v="Broadcast 07 - Broadcast cert upload via Network Centre"/>
    <x v="1"/>
    <s v=" "/>
    <d v="2024-09-24T00:00:00"/>
    <d v="1899-12-30T17:13:38"/>
    <s v="RBT"/>
    <x v="0"/>
    <s v="mkalra(Manoj Kalra)"/>
    <x v="1"/>
    <s v="RBT"/>
    <x v="0"/>
    <s v="U1300 R6.4 - NIC3 - Broadcast 07 - Broadcast cert upload via Network Centre"/>
  </r>
  <r>
    <n v="135"/>
    <x v="0"/>
    <s v="U1300 R6.4 - NIC3"/>
    <s v="020 - Broadcast"/>
    <s v="Broadcast 06 - Broadcast cert upload via FSU"/>
    <x v="1"/>
    <s v=" "/>
    <d v="2024-09-24T00:00:00"/>
    <d v="1899-12-30T17:13:35"/>
    <s v="RBT"/>
    <x v="0"/>
    <s v="mkalra(Manoj Kalra)"/>
    <x v="1"/>
    <s v="RBT"/>
    <x v="0"/>
    <s v="U1300 R6.4 - NIC3 - Broadcast 06 - Broadcast cert upload via FSU"/>
  </r>
  <r>
    <n v="1802"/>
    <x v="0"/>
    <s v="U3400 R6.4 - NIC5"/>
    <s v="HSM Cert Refresh"/>
    <s v="HCM -  Send message to IHD"/>
    <x v="2"/>
    <s v=" "/>
    <d v="2024-10-14T00:00:00"/>
    <d v="1899-12-30T15:05:53"/>
    <s v="RBT"/>
    <x v="1"/>
    <s v="mkalra(Manoj Kalra)"/>
    <x v="0"/>
    <s v="Executed"/>
    <x v="0"/>
    <s v="U3400 R6.4 - NIC5 - HCM -  Send message to IHD"/>
  </r>
  <r>
    <n v="1802"/>
    <x v="0"/>
    <s v="U3400 R6.4 - NIC3"/>
    <s v="HSM Cert Refresh"/>
    <s v="HCM -  Send message to IHD"/>
    <x v="2"/>
    <s v=" "/>
    <d v="2024-10-14T00:00:00"/>
    <d v="1899-12-30T15:07:08"/>
    <s v="RBT"/>
    <x v="6"/>
    <s v="mkalra(Manoj Kalra)"/>
    <x v="0"/>
    <s v="No Run"/>
    <x v="4"/>
    <s v="U3400 R6.4 - NIC3 - HCM -  Send message to IHD"/>
  </r>
  <r>
    <n v="1802"/>
    <x v="0"/>
    <s v="U1300 R6.4 - NIC5"/>
    <s v="HSM Cert Refresh"/>
    <s v="HCM -  Send message to IHD"/>
    <x v="2"/>
    <s v="No appropriate meter with HAN certificate but passed on NIC320 meter"/>
    <d v="2024-10-15T00:00:00"/>
    <d v="1899-12-30T14:33:04"/>
    <s v="RBT"/>
    <x v="0"/>
    <s v="knjuguna(Kamau Njuguna)"/>
    <x v="1"/>
    <s v="RBT"/>
    <x v="0"/>
    <s v="U1300 R6.4 - NIC5 - HCM -  Send message to IHD"/>
  </r>
  <r>
    <n v="1802"/>
    <x v="0"/>
    <s v="U1300 R6.4 - NIC3"/>
    <s v="HSM Cert Refresh"/>
    <s v="HCM -  Send message to IHD"/>
    <x v="2"/>
    <s v=" "/>
    <d v="2024-10-15T00:00:00"/>
    <d v="1899-12-30T13:46:28"/>
    <s v="RBT"/>
    <x v="1"/>
    <s v="knjuguna(Kamau Njuguna)"/>
    <x v="1"/>
    <s v="Executed"/>
    <x v="0"/>
    <s v="U1300 R6.4 - NIC3 - HCM -  Send message to IHD"/>
  </r>
  <r>
    <n v="1722"/>
    <x v="0"/>
    <s v="U3400 R6.4 - NIC5"/>
    <s v="PQ Polling"/>
    <s v="02 L&amp;G  PQ Configuration - Remote Enable-Disable"/>
    <x v="0"/>
    <s v=" "/>
    <d v="2024-09-24T00:00:00"/>
    <d v="1899-12-30T17:17:33"/>
    <s v="RBT"/>
    <x v="0"/>
    <s v="mkalra(Manoj Kalra)"/>
    <x v="0"/>
    <s v="RBT"/>
    <x v="0"/>
    <s v="U3400 R6.4 - NIC5 - 02 L&amp;G  PQ Configuration - Remote Enable-Disable"/>
  </r>
  <r>
    <n v="1722"/>
    <x v="0"/>
    <s v="U3400 R6.4 - NIC3"/>
    <s v="PQ Polling"/>
    <s v="02 L&amp;G  PQ Configuration - Remote Enable-Disable"/>
    <x v="0"/>
    <s v=" "/>
    <d v="2024-09-24T00:00:00"/>
    <d v="1899-12-30T17:15:48"/>
    <s v="RBT"/>
    <x v="0"/>
    <s v="mkalra(Manoj Kalra)"/>
    <x v="0"/>
    <s v="RBT"/>
    <x v="0"/>
    <s v="U3400 R6.4 - NIC3 - 02 L&amp;G  PQ Configuration - Remote Enable-Disable"/>
  </r>
  <r>
    <n v="1722"/>
    <x v="0"/>
    <s v="U1300 R6.4 - NIC5"/>
    <s v="PQ Polling"/>
    <s v="02 L&amp;G  PQ Configuration - Remote Enable-Disable"/>
    <x v="0"/>
    <s v=" "/>
    <d v="2024-09-24T00:00:00"/>
    <d v="1899-12-30T17:15:17"/>
    <s v="RBT"/>
    <x v="0"/>
    <s v="mkalra(Manoj Kalra)"/>
    <x v="1"/>
    <s v="RBT"/>
    <x v="0"/>
    <s v="U1300 R6.4 - NIC5 - 02 L&amp;G  PQ Configuration - Remote Enable-Disable"/>
  </r>
  <r>
    <n v="1722"/>
    <x v="0"/>
    <s v="U1300 R6.4 - NIC3"/>
    <s v="PQ Polling"/>
    <s v="02 L&amp;G  PQ Configuration - Remote Enable-Disable"/>
    <x v="0"/>
    <s v=" "/>
    <d v="2024-09-24T00:00:00"/>
    <d v="1899-12-30T17:12:20"/>
    <s v="RBT"/>
    <x v="0"/>
    <s v="mkalra(Manoj Kalra)"/>
    <x v="1"/>
    <s v="RBT"/>
    <x v="0"/>
    <s v="U1300 R6.4 - NIC3 - 02 L&amp;G  PQ Configuration - Remote Enable-Disable"/>
  </r>
  <r>
    <n v="1723"/>
    <x v="0"/>
    <s v="U1300 R6.4 - NIC3"/>
    <s v="PQ Polling"/>
    <s v="03 L&amp;G PQ Polling - Data Integrity"/>
    <x v="0"/>
    <s v=" "/>
    <d v="2024-09-24T00:00:00"/>
    <d v="1899-12-30T17:12:28"/>
    <s v="RBT"/>
    <x v="0"/>
    <s v="mkalra(Manoj Kalra)"/>
    <x v="1"/>
    <s v="RBT"/>
    <x v="0"/>
    <s v="U1300 R6.4 - NIC3 - 03 L&amp;G PQ Polling - Data Integrity"/>
  </r>
  <r>
    <n v="1723"/>
    <x v="0"/>
    <s v="U1300 R6.4 - NIC5"/>
    <s v="PQ Polling"/>
    <s v="03 L&amp;G PQ Polling - Data Integrity"/>
    <x v="0"/>
    <s v=" "/>
    <d v="2024-09-24T00:00:00"/>
    <d v="1899-12-30T17:15:19"/>
    <s v="RBT"/>
    <x v="0"/>
    <s v="mkalra(Manoj Kalra)"/>
    <x v="1"/>
    <s v="RBT"/>
    <x v="0"/>
    <s v="U1300 R6.4 - NIC5 - 03 L&amp;G PQ Polling - Data Integrity"/>
  </r>
  <r>
    <n v="1723"/>
    <x v="0"/>
    <s v="U3400 R6.4 - NIC3"/>
    <s v="PQ Polling"/>
    <s v="03 L&amp;G PQ Polling - Data Integrity"/>
    <x v="0"/>
    <s v=" "/>
    <d v="2024-09-24T00:00:00"/>
    <d v="1899-12-30T17:15:49"/>
    <s v="RBT"/>
    <x v="0"/>
    <s v="mkalra(Manoj Kalra)"/>
    <x v="0"/>
    <s v="RBT"/>
    <x v="0"/>
    <s v="U3400 R6.4 - NIC3 - 03 L&amp;G PQ Polling - Data Integrity"/>
  </r>
  <r>
    <n v="1723"/>
    <x v="0"/>
    <s v="U3400 R6.4 - NIC5"/>
    <s v="PQ Polling"/>
    <s v="03 L&amp;G PQ Polling - Data Integrity"/>
    <x v="0"/>
    <s v=" "/>
    <d v="2024-09-24T00:00:00"/>
    <d v="1899-12-30T17:17:23"/>
    <s v="RBT"/>
    <x v="0"/>
    <s v="mkalra(Manoj Kalra)"/>
    <x v="0"/>
    <s v="RBT"/>
    <x v="0"/>
    <s v="U3400 R6.4 - NIC5 - 03 L&amp;G PQ Polling - Data Integrity"/>
  </r>
  <r>
    <m/>
    <x v="1"/>
    <m/>
    <m/>
    <m/>
    <x v="4"/>
    <m/>
    <m/>
    <m/>
    <m/>
    <x v="7"/>
    <m/>
    <x v="2"/>
    <m/>
    <x v="5"/>
    <m/>
  </r>
  <r>
    <m/>
    <x v="1"/>
    <m/>
    <m/>
    <m/>
    <x v="4"/>
    <m/>
    <m/>
    <m/>
    <m/>
    <x v="7"/>
    <m/>
    <x v="2"/>
    <m/>
    <x v="5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n v="36"/>
    <x v="0"/>
    <s v="U3400 R6.4 - NIC5"/>
    <s v="001 - Commissioning"/>
    <s v="Meter state transitions - New to xxx to Active"/>
    <s v="1-Critical"/>
    <s v=" "/>
    <x v="0"/>
    <d v="1899-12-30T17:16:59"/>
    <s v="RBT"/>
    <x v="0"/>
    <x v="0"/>
    <s v="mkalra(Manoj Kalra)"/>
    <s v="RBT"/>
  </r>
  <r>
    <n v="36"/>
    <x v="0"/>
    <s v="U3400 R6.4 - NIC5"/>
    <s v="001 - Commissioning"/>
    <s v="Meter state transitions - New to xxx to Active"/>
    <s v="1-Critical"/>
    <s v=" "/>
    <x v="0"/>
    <d v="1899-12-30T17:17:00"/>
    <s v="RBT"/>
    <x v="0"/>
    <x v="0"/>
    <s v="mkalra(Manoj Kalra)"/>
    <s v="RBT"/>
  </r>
  <r>
    <n v="36"/>
    <x v="0"/>
    <s v="U3400 R6.4 - NIC3"/>
    <s v="001 - Commissioning"/>
    <s v="Meter state transitions - New to xxx to Active"/>
    <s v="1-Critical"/>
    <s v=" "/>
    <x v="0"/>
    <d v="1899-12-30T17:16:12"/>
    <s v="RBT"/>
    <x v="0"/>
    <x v="0"/>
    <s v="mkalra(Manoj Kalra)"/>
    <s v="RBT"/>
  </r>
  <r>
    <n v="36"/>
    <x v="0"/>
    <s v="U3400 R6.4 - NIC3"/>
    <s v="001 - Commissioning"/>
    <s v="Meter state transitions - New to xxx to Active"/>
    <s v="1-Critical"/>
    <s v=" "/>
    <x v="0"/>
    <d v="1899-12-30T17:16:11"/>
    <s v="RBT"/>
    <x v="0"/>
    <x v="0"/>
    <s v="mkalra(Manoj Kalra)"/>
    <s v="RBT"/>
  </r>
  <r>
    <n v="36"/>
    <x v="0"/>
    <s v="U1300 R6.4 - NIC5"/>
    <s v="001 - Commissioning"/>
    <s v="Meter state transitions - New to xxx to Active"/>
    <s v="1-Critical"/>
    <s v=" "/>
    <x v="0"/>
    <d v="1899-12-30T17:14:47"/>
    <s v="RBT"/>
    <x v="0"/>
    <x v="0"/>
    <s v="knjuguna(Kamau Njuguna)"/>
    <s v="RBT"/>
  </r>
  <r>
    <n v="36"/>
    <x v="0"/>
    <s v="U1300 R6.4 - NIC5"/>
    <s v="001 - Commissioning"/>
    <s v="Meter state transitions - New to xxx to Active"/>
    <s v="1-Critical"/>
    <s v=" "/>
    <x v="0"/>
    <d v="1899-12-30T17:14:48"/>
    <s v="RBT"/>
    <x v="0"/>
    <x v="0"/>
    <s v="knjuguna(Kamau Njuguna)"/>
    <s v="RBT"/>
  </r>
  <r>
    <n v="36"/>
    <x v="0"/>
    <s v="U1300 R6.4 - NIC3"/>
    <s v="001 - Commissioning"/>
    <s v="Meter state transitions - New to xxx to Active"/>
    <s v="1-Critical"/>
    <s v=" "/>
    <x v="0"/>
    <d v="1899-12-30T17:14:24"/>
    <s v="RBT"/>
    <x v="0"/>
    <x v="0"/>
    <s v="knjuguna(Kamau Njuguna)"/>
    <s v="RBT"/>
  </r>
  <r>
    <n v="36"/>
    <x v="0"/>
    <s v="U1300 R6.4 - NIC3"/>
    <s v="001 - Commissioning"/>
    <s v="Meter state transitions - New to xxx to Active"/>
    <s v="1-Critical"/>
    <s v=" "/>
    <x v="0"/>
    <d v="1899-12-30T17:14:21"/>
    <s v="RBT"/>
    <x v="0"/>
    <x v="0"/>
    <s v="knjuguna(Kamau Njuguna)"/>
    <s v="RBT"/>
  </r>
  <r>
    <n v="32"/>
    <x v="0"/>
    <s v="U1300 R6.4 - NIC3"/>
    <s v="001 - Commissioning"/>
    <s v="Reloading RMA meters into UIQ"/>
    <s v="1-Critical"/>
    <s v=" "/>
    <x v="0"/>
    <d v="1899-12-30T17:14:26"/>
    <s v="RBT"/>
    <x v="0"/>
    <x v="0"/>
    <s v="knjuguna(Kamau Njuguna)"/>
    <s v="RBT"/>
  </r>
  <r>
    <n v="32"/>
    <x v="0"/>
    <s v="U1300 R6.4 - NIC3"/>
    <s v="001 - Commissioning"/>
    <s v="Reloading RMA meters into UIQ"/>
    <s v="1-Critical"/>
    <s v=" "/>
    <x v="0"/>
    <d v="1899-12-30T17:14:34"/>
    <s v="RBT"/>
    <x v="0"/>
    <x v="0"/>
    <s v="knjuguna(Kamau Njuguna)"/>
    <s v="RBT"/>
  </r>
  <r>
    <n v="32"/>
    <x v="0"/>
    <s v="U1300 R6.4 - NIC5"/>
    <s v="001 - Commissioning"/>
    <s v="Reloading RMA meters into UIQ"/>
    <s v="1-Critical"/>
    <s v=" "/>
    <x v="0"/>
    <d v="1899-12-30T17:14:45"/>
    <s v="RBT"/>
    <x v="0"/>
    <x v="0"/>
    <s v="knjuguna(Kamau Njuguna)"/>
    <s v="RBT"/>
  </r>
  <r>
    <n v="32"/>
    <x v="0"/>
    <s v="U1300 R6.4 - NIC5"/>
    <s v="001 - Commissioning"/>
    <s v="Reloading RMA meters into UIQ"/>
    <s v="1-Critical"/>
    <s v=" "/>
    <x v="0"/>
    <d v="1899-12-30T17:14:43"/>
    <s v="RBT"/>
    <x v="0"/>
    <x v="0"/>
    <s v="knjuguna(Kamau Njuguna)"/>
    <s v="RBT"/>
  </r>
  <r>
    <n v="32"/>
    <x v="0"/>
    <s v="U3400 R6.4 - NIC3"/>
    <s v="001 - Commissioning"/>
    <s v="Reloading RMA meters into UIQ"/>
    <s v="1-Critical"/>
    <s v=" "/>
    <x v="0"/>
    <d v="1899-12-30T17:16:44"/>
    <s v="RBT"/>
    <x v="0"/>
    <x v="0"/>
    <s v="mkalra(Manoj Kalra)"/>
    <s v="RBT"/>
  </r>
  <r>
    <n v="32"/>
    <x v="0"/>
    <s v="U3400 R6.4 - NIC3"/>
    <s v="001 - Commissioning"/>
    <s v="Reloading RMA meters into UIQ"/>
    <s v="1-Critical"/>
    <s v=" "/>
    <x v="0"/>
    <d v="1899-12-30T17:16:14"/>
    <s v="RBT"/>
    <x v="0"/>
    <x v="0"/>
    <s v="mkalra(Manoj Kalra)"/>
    <s v="RBT"/>
  </r>
  <r>
    <n v="32"/>
    <x v="0"/>
    <s v="U3400 R6.4 - NIC5"/>
    <s v="001 - Commissioning"/>
    <s v="Reloading RMA meters into UIQ"/>
    <s v="1-Critical"/>
    <s v=" "/>
    <x v="0"/>
    <d v="1899-12-30T17:16:58"/>
    <s v="RBT"/>
    <x v="0"/>
    <x v="0"/>
    <s v="mkalra(Manoj Kalra)"/>
    <s v="RBT"/>
  </r>
  <r>
    <n v="32"/>
    <x v="0"/>
    <s v="U3400 R6.4 - NIC5"/>
    <s v="001 - Commissioning"/>
    <s v="Reloading RMA meters into UIQ"/>
    <s v="1-Critical"/>
    <s v=" "/>
    <x v="0"/>
    <d v="1899-12-30T17:16:56"/>
    <s v="RBT"/>
    <x v="0"/>
    <x v="0"/>
    <s v="mkalra(Manoj Kalra)"/>
    <s v="RBT"/>
  </r>
  <r>
    <n v="963"/>
    <x v="0"/>
    <s v="U3400 R6.4 - NIC3"/>
    <s v="004 - Time"/>
    <s v="01 Meter Time synchronisation to NIC - forward within interval (Auto)"/>
    <s v="2-High"/>
    <s v=" "/>
    <x v="1"/>
    <d v="1899-12-30T16:14:40"/>
    <s v="Passed"/>
    <x v="1"/>
    <x v="0"/>
    <s v="mkalra(Manoj Kalra)"/>
    <s v="Executed"/>
  </r>
  <r>
    <n v="153"/>
    <x v="0"/>
    <s v="U3400 R6.4 - NIC3"/>
    <s v="004 - Time"/>
    <s v="02 Meter Time synchronisation to NIC - forward within interval (Force)"/>
    <s v="1-Critical"/>
    <s v=" "/>
    <x v="2"/>
    <d v="1899-12-30T11:25:54"/>
    <s v="Passed"/>
    <x v="1"/>
    <x v="0"/>
    <s v="mkalra(Manoj Kalra)"/>
    <s v="Executed"/>
  </r>
  <r>
    <n v="154"/>
    <x v="0"/>
    <s v="U3400 R6.4 - NIC3"/>
    <s v="004 - Time"/>
    <s v="03 Meter Time synchronisation to NIC - backward within interval (Auto)"/>
    <s v="2-High"/>
    <s v=" "/>
    <x v="2"/>
    <d v="1899-12-30T13:43:20"/>
    <s v="Passed"/>
    <x v="1"/>
    <x v="0"/>
    <s v="mkalra(Manoj Kalra)"/>
    <s v="Executed"/>
  </r>
  <r>
    <n v="158"/>
    <x v="0"/>
    <s v="U3400 R6.4 - NIC3"/>
    <s v="004 - Time"/>
    <s v="04 Meter Time synchronisation to NIC - backward within interval (Force)"/>
    <s v="1-Critical"/>
    <s v=" "/>
    <x v="2"/>
    <d v="1899-12-30T14:37:18"/>
    <s v="Passed"/>
    <x v="1"/>
    <x v="0"/>
    <s v="mkalra(Manoj Kalra)"/>
    <s v="Executed"/>
  </r>
  <r>
    <n v="156"/>
    <x v="0"/>
    <s v="U3400 R6.4 - NIC3"/>
    <s v="004 - Time"/>
    <s v="05 Meter Time synchronisation to NIC - forward crossing interval (Auto)"/>
    <s v="2-High"/>
    <s v=" "/>
    <x v="2"/>
    <d v="1899-12-30T15:42:13"/>
    <s v="Passed"/>
    <x v="1"/>
    <x v="0"/>
    <s v="mkalra(Manoj Kalra)"/>
    <s v="Executed"/>
  </r>
  <r>
    <n v="157"/>
    <x v="0"/>
    <s v="U3400 R6.4 - NIC3"/>
    <s v="004 - Time"/>
    <s v="06 Meter Time synchronisation to NIC - forward crossing interval (Force)"/>
    <s v="2-High"/>
    <s v=" "/>
    <x v="3"/>
    <d v="1899-12-30T11:04:09"/>
    <s v="Passed"/>
    <x v="1"/>
    <x v="0"/>
    <s v="mkalra(Manoj Kalra)"/>
    <s v="Executed"/>
  </r>
  <r>
    <n v="159"/>
    <x v="0"/>
    <s v="U3400 R6.4 - NIC3"/>
    <s v="004 - Time"/>
    <s v="07 Meter Time synchronisation to NIC - backward crossing interval (Auto)"/>
    <s v="2-High"/>
    <s v=" "/>
    <x v="4"/>
    <d v="1899-12-30T16:18:25"/>
    <s v="Passed"/>
    <x v="1"/>
    <x v="0"/>
    <s v="mkalra(Manoj Kalra)"/>
    <s v="Executed"/>
  </r>
  <r>
    <n v="964"/>
    <x v="0"/>
    <s v="U3400 R6.4 - NIC3"/>
    <s v="004 - Time"/>
    <s v="08 Meter Time synchronisation to NIC - backward crossing interval (Force)"/>
    <s v="2-High"/>
    <s v=" "/>
    <x v="4"/>
    <d v="1899-12-30T16:19:53"/>
    <s v="Passed"/>
    <x v="1"/>
    <x v="0"/>
    <s v="mkalra(Manoj Kalra)"/>
    <s v="Executed"/>
  </r>
  <r>
    <n v="963"/>
    <x v="0"/>
    <s v="U1300 R6.4 - NIC3"/>
    <s v="004 - Time"/>
    <s v="01 Meter Time synchronisation to NIC - forward within interval (Auto)"/>
    <s v="2-High"/>
    <s v=" "/>
    <x v="5"/>
    <d v="1899-12-30T10:18:41"/>
    <s v="Passed"/>
    <x v="1"/>
    <x v="1"/>
    <s v="knjuguna(Kamau Njuguna)"/>
    <s v="Executed"/>
  </r>
  <r>
    <n v="153"/>
    <x v="0"/>
    <s v="U1300 R6.4 - NIC3"/>
    <s v="004 - Time"/>
    <s v="02 Meter Time synchronisation to NIC - forward within interval (Force)"/>
    <s v="1-Critical"/>
    <s v=" "/>
    <x v="5"/>
    <d v="1899-12-30T11:41:11"/>
    <s v="Passed"/>
    <x v="1"/>
    <x v="1"/>
    <s v="knjuguna(Kamau Njuguna)"/>
    <s v="Executed"/>
  </r>
  <r>
    <n v="154"/>
    <x v="0"/>
    <s v="U1300 R6.4 - NIC3"/>
    <s v="004 - Time"/>
    <s v="03 Meter Time synchronisation to NIC - backward within interval (Auto)"/>
    <s v="2-High"/>
    <s v=" "/>
    <x v="5"/>
    <d v="1899-12-30T14:52:15"/>
    <s v="Passed"/>
    <x v="1"/>
    <x v="1"/>
    <s v="knjuguna(Kamau Njuguna)"/>
    <s v="Executed"/>
  </r>
  <r>
    <n v="158"/>
    <x v="0"/>
    <s v="U1300 R6.4 - NIC3"/>
    <s v="004 - Time"/>
    <s v="04 Meter Time synchronisation to NIC - backward within interval (Force)"/>
    <s v="1-Critical"/>
    <s v=" "/>
    <x v="5"/>
    <d v="1899-12-30T15:48:30"/>
    <s v="Passed"/>
    <x v="1"/>
    <x v="1"/>
    <s v="knjuguna(Kamau Njuguna)"/>
    <s v="Executed"/>
  </r>
  <r>
    <n v="156"/>
    <x v="0"/>
    <s v="U1300 R6.4 - NIC3"/>
    <s v="004 - Time"/>
    <s v="05 Meter Time synchronisation to NIC - forward crossing interval (Auto)"/>
    <s v="2-High"/>
    <s v=" "/>
    <x v="5"/>
    <d v="1899-12-30T17:14:36"/>
    <s v="Passed"/>
    <x v="1"/>
    <x v="1"/>
    <s v="knjuguna(Kamau Njuguna)"/>
    <s v="Executed"/>
  </r>
  <r>
    <n v="157"/>
    <x v="0"/>
    <s v="U1300 R6.4 - NIC3"/>
    <s v="004 - Time"/>
    <s v="06 Meter Time synchronisation to NIC - forward crossing interval (Force)"/>
    <s v="2-High"/>
    <s v=" "/>
    <x v="4"/>
    <d v="1899-12-30T09:57:50"/>
    <s v="Passed"/>
    <x v="1"/>
    <x v="1"/>
    <s v="knjuguna(Kamau Njuguna)"/>
    <s v="Executed"/>
  </r>
  <r>
    <n v="159"/>
    <x v="0"/>
    <s v="U1300 R6.4 - NIC3"/>
    <s v="004 - Time"/>
    <s v="07 Meter Time synchronisation to NIC - backward crossing interval (Auto)"/>
    <s v="2-High"/>
    <s v=" "/>
    <x v="4"/>
    <d v="1899-12-30T11:20:13"/>
    <s v="Passed"/>
    <x v="1"/>
    <x v="1"/>
    <s v="knjuguna(Kamau Njuguna)"/>
    <s v="Executed"/>
  </r>
  <r>
    <n v="964"/>
    <x v="0"/>
    <s v="U1300 R6.4 - NIC3"/>
    <s v="004 - Time"/>
    <s v="08 Meter Time synchronisation to NIC - backward crossing interval (Force)"/>
    <s v="2-High"/>
    <s v=" "/>
    <x v="4"/>
    <d v="1899-12-30T13:11:41"/>
    <s v="Passed"/>
    <x v="1"/>
    <x v="1"/>
    <s v="knjuguna(Kamau Njuguna)"/>
    <s v="Executed"/>
  </r>
  <r>
    <n v="963"/>
    <x v="0"/>
    <s v="U3400 R6.4 - NIC5"/>
    <s v="004 - Time"/>
    <s v="01 Meter Time synchronisation to NIC - forward within interval (Auto)"/>
    <s v="2-High"/>
    <s v=" "/>
    <x v="1"/>
    <d v="1899-12-30T16:14:45"/>
    <s v="Passed"/>
    <x v="1"/>
    <x v="0"/>
    <s v="mkalra(Manoj Kalra)"/>
    <s v="Executed"/>
  </r>
  <r>
    <n v="153"/>
    <x v="0"/>
    <s v="U3400 R6.4 - NIC5"/>
    <s v="004 - Time"/>
    <s v="02 Meter Time synchronisation to NIC - forward within interval (Force)"/>
    <s v="1-Critical"/>
    <s v=" "/>
    <x v="2"/>
    <d v="1899-12-30T11:25:52"/>
    <s v="Passed"/>
    <x v="1"/>
    <x v="0"/>
    <s v="mkalra(Manoj Kalra)"/>
    <s v="Executed"/>
  </r>
  <r>
    <n v="154"/>
    <x v="0"/>
    <s v="U3400 R6.4 - NIC5"/>
    <s v="004 - Time"/>
    <s v="03 Meter Time synchronisation to NIC - backward within interval (Auto)"/>
    <s v="2-High"/>
    <s v=" "/>
    <x v="2"/>
    <d v="1899-12-30T13:43:00"/>
    <s v="Passed"/>
    <x v="1"/>
    <x v="0"/>
    <s v="mkalra(Manoj Kalra)"/>
    <s v="Executed"/>
  </r>
  <r>
    <n v="158"/>
    <x v="0"/>
    <s v="U3400 R6.4 - NIC5"/>
    <s v="004 - Time"/>
    <s v="04 Meter Time synchronisation to NIC - backward within interval (Force)"/>
    <s v="1-Critical"/>
    <s v=" "/>
    <x v="2"/>
    <d v="1899-12-30T14:37:22"/>
    <s v="Passed"/>
    <x v="1"/>
    <x v="0"/>
    <s v="mkalra(Manoj Kalra)"/>
    <s v="Executed"/>
  </r>
  <r>
    <n v="156"/>
    <x v="0"/>
    <s v="U3400 R6.4 - NIC5"/>
    <s v="004 - Time"/>
    <s v="05 Meter Time synchronisation to NIC - forward crossing interval (Auto)"/>
    <s v="2-High"/>
    <s v=" "/>
    <x v="2"/>
    <d v="1899-12-30T15:38:07"/>
    <s v="Passed"/>
    <x v="1"/>
    <x v="0"/>
    <s v="mkalra(Manoj Kalra)"/>
    <s v="Executed"/>
  </r>
  <r>
    <n v="157"/>
    <x v="0"/>
    <s v="U3400 R6.4 - NIC5"/>
    <s v="004 - Time"/>
    <s v="06 Meter Time synchronisation to NIC - forward crossing interval (Force)"/>
    <s v="2-High"/>
    <s v=" "/>
    <x v="3"/>
    <d v="1899-12-30T11:04:12"/>
    <s v="Passed"/>
    <x v="1"/>
    <x v="0"/>
    <s v="mkalra(Manoj Kalra)"/>
    <s v="Executed"/>
  </r>
  <r>
    <n v="159"/>
    <x v="0"/>
    <s v="U3400 R6.4 - NIC5"/>
    <s v="004 - Time"/>
    <s v="07 Meter Time synchronisation to NIC - backward crossing interval (Auto)"/>
    <s v="2-High"/>
    <s v=" "/>
    <x v="4"/>
    <d v="1899-12-30T16:20:58"/>
    <s v="Passed"/>
    <x v="1"/>
    <x v="0"/>
    <s v="mkalra(Manoj Kalra)"/>
    <s v="Executed"/>
  </r>
  <r>
    <n v="964"/>
    <x v="0"/>
    <s v="U3400 R6.4 - NIC5"/>
    <s v="004 - Time"/>
    <s v="08 Meter Time synchronisation to NIC - backward crossing interval (Force)"/>
    <s v="2-High"/>
    <s v=" "/>
    <x v="4"/>
    <d v="1899-12-30T16:21:49"/>
    <s v="Passed"/>
    <x v="1"/>
    <x v="0"/>
    <s v="mkalra(Manoj Kalra)"/>
    <s v="Executed"/>
  </r>
  <r>
    <n v="963"/>
    <x v="0"/>
    <s v="U1300 R6.4 - NIC5"/>
    <s v="004 - Time"/>
    <s v="01 Meter Time synchronisation to NIC - forward within interval (Auto)"/>
    <s v="2-High"/>
    <s v=" "/>
    <x v="5"/>
    <d v="1899-12-30T10:22:49"/>
    <s v="Passed"/>
    <x v="1"/>
    <x v="1"/>
    <s v="knjuguna(Kamau Njuguna)"/>
    <s v="Executed"/>
  </r>
  <r>
    <n v="153"/>
    <x v="0"/>
    <s v="U1300 R6.4 - NIC5"/>
    <s v="004 - Time"/>
    <s v="02 Meter Time synchronisation to NIC - forward within interval (Force)"/>
    <s v="1-Critical"/>
    <s v=" "/>
    <x v="5"/>
    <d v="1899-12-30T11:52:24"/>
    <s v="Passed"/>
    <x v="1"/>
    <x v="1"/>
    <s v="knjuguna(Kamau Njuguna)"/>
    <s v="Executed"/>
  </r>
  <r>
    <n v="154"/>
    <x v="0"/>
    <s v="U1300 R6.4 - NIC5"/>
    <s v="004 - Time"/>
    <s v="03 Meter Time synchronisation to NIC - backward within interval (Auto)"/>
    <s v="2-High"/>
    <s v=" "/>
    <x v="5"/>
    <d v="1899-12-30T14:43:10"/>
    <s v="Passed"/>
    <x v="1"/>
    <x v="1"/>
    <s v="knjuguna(Kamau Njuguna)"/>
    <s v="Executed"/>
  </r>
  <r>
    <n v="158"/>
    <x v="0"/>
    <s v="U1300 R6.4 - NIC5"/>
    <s v="004 - Time"/>
    <s v="04 Meter Time synchronisation to NIC - backward within interval (Force)"/>
    <s v="1-Critical"/>
    <s v=" "/>
    <x v="5"/>
    <d v="1899-12-30T15:51:44"/>
    <s v="Passed"/>
    <x v="1"/>
    <x v="1"/>
    <s v="knjuguna(Kamau Njuguna)"/>
    <s v="Executed"/>
  </r>
  <r>
    <n v="156"/>
    <x v="0"/>
    <s v="U1300 R6.4 - NIC5"/>
    <s v="004 - Time"/>
    <s v="05 Meter Time synchronisation to NIC - forward crossing interval (Auto)"/>
    <s v="2-High"/>
    <s v=" "/>
    <x v="5"/>
    <d v="1899-12-30T17:19:14"/>
    <s v="Passed"/>
    <x v="1"/>
    <x v="1"/>
    <s v="knjuguna(Kamau Njuguna)"/>
    <s v="Executed"/>
  </r>
  <r>
    <n v="157"/>
    <x v="0"/>
    <s v="U1300 R6.4 - NIC5"/>
    <s v="004 - Time"/>
    <s v="06 Meter Time synchronisation to NIC - forward crossing interval (Force)"/>
    <s v="2-High"/>
    <s v=" "/>
    <x v="4"/>
    <d v="1899-12-30T09:59:03"/>
    <s v="Passed"/>
    <x v="1"/>
    <x v="1"/>
    <s v="knjuguna(Kamau Njuguna)"/>
    <s v="Executed"/>
  </r>
  <r>
    <n v="159"/>
    <x v="0"/>
    <s v="U1300 R6.4 - NIC5"/>
    <s v="004 - Time"/>
    <s v="07 Meter Time synchronisation to NIC - backward crossing interval (Auto)"/>
    <s v="2-High"/>
    <s v=" "/>
    <x v="4"/>
    <d v="1899-12-30T11:32:51"/>
    <s v="Passed"/>
    <x v="1"/>
    <x v="1"/>
    <s v="knjuguna(Kamau Njuguna)"/>
    <s v="Executed"/>
  </r>
  <r>
    <n v="964"/>
    <x v="0"/>
    <s v="U1300 R6.4 - NIC5"/>
    <s v="004 - Time"/>
    <s v="08 Meter Time synchronisation to NIC - backward crossing interval (Force)"/>
    <s v="2-High"/>
    <s v=" "/>
    <x v="4"/>
    <d v="1899-12-30T13:15:02"/>
    <s v="Passed"/>
    <x v="1"/>
    <x v="1"/>
    <s v="knjuguna(Kamau Njuguna)"/>
    <s v="Executed"/>
  </r>
  <r>
    <n v="39"/>
    <x v="0"/>
    <s v="U3400 R6.4 - NIC3"/>
    <s v="007 - Meter Firmware"/>
    <s v="FWU meter firmware upgrade - (seedingpercent) percent seeded - Uninterrupted"/>
    <s v="1-Critical"/>
    <s v=" "/>
    <x v="6"/>
    <d v="1899-12-30T10:10:49"/>
    <s v="Failed"/>
    <x v="2"/>
    <x v="0"/>
    <s v="mkalra(Manoj Kalra)"/>
    <s v="Executed"/>
  </r>
  <r>
    <n v="1703"/>
    <x v="0"/>
    <s v="U3400 R6.4 - NIC3"/>
    <s v="007 - Meter Firmware"/>
    <s v="FWU meter firmware upgrade - (seedingpercent) percent seeded - Interrupted"/>
    <s v="1-Critical"/>
    <s v="This Test is performed on U1300 meter"/>
    <x v="4"/>
    <d v="1899-12-30T16:29:03"/>
    <s v="Failed"/>
    <x v="0"/>
    <x v="0"/>
    <s v="mkalra(Manoj Kalra)"/>
    <s v="RBT"/>
  </r>
  <r>
    <n v="38"/>
    <x v="0"/>
    <s v="U3400 R6.4 - NIC3"/>
    <s v="007 - Meter Firmware"/>
    <s v="Meter firmware audit"/>
    <s v="1-Critical"/>
    <s v=" "/>
    <x v="7"/>
    <d v="1899-12-30T09:11:28"/>
    <s v="Passed"/>
    <x v="1"/>
    <x v="0"/>
    <s v="mkalra(Manoj Kalra)"/>
    <s v="Executed"/>
  </r>
  <r>
    <n v="39"/>
    <x v="0"/>
    <s v="U1300 R6.4 - NIC3"/>
    <s v="007 - Meter Firmware"/>
    <s v="FWU meter firmware upgrade - (seedingpercent) percent seeded - Uninterrupted"/>
    <s v="1-Critical"/>
    <s v=" "/>
    <x v="8"/>
    <d v="1899-12-30T11:00:12"/>
    <s v="Failed"/>
    <x v="2"/>
    <x v="1"/>
    <s v="knjuguna(Kamau Njuguna)"/>
    <s v="Executed"/>
  </r>
  <r>
    <n v="1703"/>
    <x v="0"/>
    <s v="U1300 R6.4 - NIC3"/>
    <s v="007 - Meter Firmware"/>
    <s v="FWU meter firmware upgrade - (seedingpercent) percent seeded - Interrupted"/>
    <s v="1-Critical"/>
    <s v=" "/>
    <x v="9"/>
    <d v="1899-12-30T09:32:24"/>
    <s v="Failed"/>
    <x v="2"/>
    <x v="1"/>
    <s v="knjuguna(Kamau Njuguna)"/>
    <s v="Executed"/>
  </r>
  <r>
    <n v="38"/>
    <x v="0"/>
    <s v="U1300 R6.4 - NIC3"/>
    <s v="007 - Meter Firmware"/>
    <s v="Meter firmware audit"/>
    <s v="1-Critical"/>
    <s v=" "/>
    <x v="8"/>
    <d v="1899-12-30T13:19:46"/>
    <s v="Passed"/>
    <x v="1"/>
    <x v="1"/>
    <s v="knjuguna(Kamau Njuguna)"/>
    <s v="Executed"/>
  </r>
  <r>
    <n v="39"/>
    <x v="0"/>
    <s v="U3400 R6.4 - NIC5"/>
    <s v="007 - Meter Firmware"/>
    <s v="FWU meter firmware upgrade - (seedingpercent) percent seeded - Uninterrupted"/>
    <s v="1-Critical"/>
    <s v=" "/>
    <x v="6"/>
    <d v="1899-12-30T10:11:46"/>
    <s v="Failed"/>
    <x v="2"/>
    <x v="0"/>
    <s v="mkalra(Manoj Kalra)"/>
    <s v="Executed"/>
  </r>
  <r>
    <n v="1703"/>
    <x v="0"/>
    <s v="U3400 R6.4 - NIC5"/>
    <s v="007 - Meter Firmware"/>
    <s v="FWU meter firmware upgrade - (seedingpercent) percent seeded - Interrupted"/>
    <s v="1-Critical"/>
    <s v="This Test is performed on U1300 meter"/>
    <x v="10"/>
    <d v="1899-12-30T10:45:37"/>
    <s v="Failed"/>
    <x v="0"/>
    <x v="0"/>
    <s v="mkalra(Manoj Kalra)"/>
    <s v="RBT"/>
  </r>
  <r>
    <n v="38"/>
    <x v="0"/>
    <s v="U3400 R6.4 - NIC5"/>
    <s v="007 - Meter Firmware"/>
    <s v="Meter firmware audit"/>
    <s v="1-Critical"/>
    <s v=" "/>
    <x v="7"/>
    <d v="1899-12-30T09:11:26"/>
    <s v="Passed"/>
    <x v="1"/>
    <x v="0"/>
    <s v="mkalra(Manoj Kalra)"/>
    <s v="Executed"/>
  </r>
  <r>
    <n v="39"/>
    <x v="0"/>
    <s v="U1300 R6.4 - NIC5"/>
    <s v="007 - Meter Firmware"/>
    <s v="FWU meter firmware upgrade - (seedingpercent) percent seeded - Uninterrupted"/>
    <s v="1-Critical"/>
    <s v=" "/>
    <x v="8"/>
    <d v="1899-12-30T11:21:00"/>
    <s v="Failed"/>
    <x v="2"/>
    <x v="1"/>
    <s v="knjuguna(Kamau Njuguna)"/>
    <s v="Executed"/>
  </r>
  <r>
    <n v="1703"/>
    <x v="0"/>
    <s v="U1300 R6.4 - NIC5"/>
    <s v="007 - Meter Firmware"/>
    <s v="FWU meter firmware upgrade - (seedingpercent) percent seeded - Interrupted"/>
    <s v="1-Critical"/>
    <s v="NIC320 meter has been tested"/>
    <x v="10"/>
    <d v="1899-12-30T11:51:33"/>
    <s v="Failed"/>
    <x v="0"/>
    <x v="1"/>
    <s v="knjuguna(Kamau Njuguna)"/>
    <s v="RBT"/>
  </r>
  <r>
    <n v="38"/>
    <x v="0"/>
    <s v="U1300 R6.4 - NIC5"/>
    <s v="007 - Meter Firmware"/>
    <s v="Meter firmware audit"/>
    <s v="1-Critical"/>
    <s v=" "/>
    <x v="8"/>
    <d v="1899-12-30T15:01:17"/>
    <s v="Passed"/>
    <x v="1"/>
    <x v="1"/>
    <s v="knjuguna(Kamau Njuguna)"/>
    <s v="Executed"/>
  </r>
  <r>
    <n v="41"/>
    <x v="0"/>
    <s v="U3400 R6.4 - NIC3"/>
    <s v="008 - Meter Program"/>
    <s v="Meter Program -  Remote 1 - Load a full meter program (New Meter Program in UIQ)"/>
    <s v="1-Critical"/>
    <s v=" "/>
    <x v="11"/>
    <d v="1899-12-30T15:36:34"/>
    <s v="Not Completed"/>
    <x v="1"/>
    <x v="0"/>
    <s v="mkalra(Manoj Kalra)"/>
    <s v="Executed"/>
  </r>
  <r>
    <n v="42"/>
    <x v="0"/>
    <s v="U3400 R6.4 - NIC3"/>
    <s v="008 - Meter Program"/>
    <s v="Meter Program -  Remote 4 - Load a full meter program (Meter Program exists in UIQ)"/>
    <s v="1-Critical"/>
    <s v=" "/>
    <x v="6"/>
    <d v="1899-12-30T17:48:59"/>
    <s v="Passed"/>
    <x v="1"/>
    <x v="0"/>
    <s v="mkalra(Manoj Kalra)"/>
    <s v="Executed"/>
  </r>
  <r>
    <n v="61"/>
    <x v="0"/>
    <s v="U3400 R6.4 - NIC3"/>
    <s v="008 - Meter Program"/>
    <s v="Meter Program -  export events"/>
    <s v="1-Critical"/>
    <s v=" "/>
    <x v="12"/>
    <d v="1899-12-30T13:45:39"/>
    <s v="Not Completed"/>
    <x v="1"/>
    <x v="0"/>
    <s v="mkalra(Manoj Kalra)"/>
    <s v="Executed"/>
  </r>
  <r>
    <n v="40"/>
    <x v="0"/>
    <s v="U3400 R6.4 - NIC3"/>
    <s v="008 - Meter Program"/>
    <s v="Meter program audit"/>
    <s v="1-Critical"/>
    <s v=" "/>
    <x v="11"/>
    <d v="1899-12-30T16:00:21"/>
    <s v="Passed"/>
    <x v="1"/>
    <x v="0"/>
    <s v="mkalra(Manoj Kalra)"/>
    <s v="Executed"/>
  </r>
  <r>
    <n v="41"/>
    <x v="0"/>
    <s v="U1300 R6.4 - NIC3"/>
    <s v="008 - Meter Program"/>
    <s v="Meter Program -  Remote 1 - Load a full meter program (New Meter Program in UIQ)"/>
    <s v="1-Critical"/>
    <s v=" "/>
    <x v="3"/>
    <d v="1899-12-30T14:48:56"/>
    <s v="Not Completed"/>
    <x v="2"/>
    <x v="1"/>
    <s v="knjuguna(Kamau Njuguna)"/>
    <s v="Executed"/>
  </r>
  <r>
    <n v="42"/>
    <x v="0"/>
    <s v="U1300 R6.4 - NIC3"/>
    <s v="008 - Meter Program"/>
    <s v="Meter Program -  Remote 4 - Load a full meter program (Meter Program exists in UIQ)"/>
    <s v="1-Critical"/>
    <s v=" "/>
    <x v="3"/>
    <d v="1899-12-30T15:58:35"/>
    <s v="Passed"/>
    <x v="2"/>
    <x v="1"/>
    <s v="knjuguna(Kamau Njuguna)"/>
    <s v="Executed"/>
  </r>
  <r>
    <n v="61"/>
    <x v="0"/>
    <s v="U1300 R6.4 - NIC3"/>
    <s v="008 - Meter Program"/>
    <s v="Meter Program -  export events"/>
    <s v="1-Critical"/>
    <s v=" "/>
    <x v="4"/>
    <d v="1899-12-30T13:38:35"/>
    <s v="Not Completed"/>
    <x v="3"/>
    <x v="1"/>
    <s v="knjuguna(Kamau Njuguna)"/>
    <s v="Executed"/>
  </r>
  <r>
    <n v="40"/>
    <x v="0"/>
    <s v="U1300 R6.4 - NIC3"/>
    <s v="008 - Meter Program"/>
    <s v="Meter program audit"/>
    <s v="1-Critical"/>
    <s v=" "/>
    <x v="1"/>
    <d v="1899-12-30T16:41:49"/>
    <s v="Passed"/>
    <x v="2"/>
    <x v="1"/>
    <s v="knjuguna(Kamau Njuguna)"/>
    <s v="Executed"/>
  </r>
  <r>
    <n v="41"/>
    <x v="0"/>
    <s v="U3400 R6.4 - NIC5"/>
    <s v="008 - Meter Program"/>
    <s v="Meter Program -  Remote 1 - Load a full meter program (New Meter Program in UIQ)"/>
    <s v="1-Critical"/>
    <s v=" "/>
    <x v="11"/>
    <d v="1899-12-30T15:07:21"/>
    <s v="Not Completed"/>
    <x v="1"/>
    <x v="0"/>
    <s v="mkalra(Manoj Kalra)"/>
    <s v="Executed"/>
  </r>
  <r>
    <n v="42"/>
    <x v="0"/>
    <s v="U3400 R6.4 - NIC5"/>
    <s v="008 - Meter Program"/>
    <s v="Meter Program -  Remote 4 - Load a full meter program (Meter Program exists in UIQ)"/>
    <s v="1-Critical"/>
    <s v=" "/>
    <x v="6"/>
    <d v="1899-12-30T17:49:01"/>
    <s v="Passed"/>
    <x v="1"/>
    <x v="0"/>
    <s v="mkalra(Manoj Kalra)"/>
    <s v="Executed"/>
  </r>
  <r>
    <n v="61"/>
    <x v="0"/>
    <s v="U3400 R6.4 - NIC5"/>
    <s v="008 - Meter Program"/>
    <s v="Meter Program -  export events"/>
    <s v="1-Critical"/>
    <s v=" "/>
    <x v="12"/>
    <d v="1899-12-30T13:34:27"/>
    <s v="Not Completed"/>
    <x v="1"/>
    <x v="0"/>
    <s v="mkalra(Manoj Kalra)"/>
    <s v="Executed"/>
  </r>
  <r>
    <n v="40"/>
    <x v="0"/>
    <s v="U3400 R6.4 - NIC5"/>
    <s v="008 - Meter Program"/>
    <s v="Meter program audit"/>
    <s v="1-Critical"/>
    <s v=" "/>
    <x v="11"/>
    <d v="1899-12-30T16:00:18"/>
    <s v="Passed"/>
    <x v="1"/>
    <x v="0"/>
    <s v="mkalra(Manoj Kalra)"/>
    <s v="Executed"/>
  </r>
  <r>
    <n v="41"/>
    <x v="0"/>
    <s v="U1300 R6.4 - NIC5"/>
    <s v="008 - Meter Program"/>
    <s v="Meter Program -  Remote 1 - Load a full meter program (New Meter Program in UIQ)"/>
    <s v="1-Critical"/>
    <s v=" "/>
    <x v="3"/>
    <d v="1899-12-30T14:40:54"/>
    <s v="Not Completed"/>
    <x v="2"/>
    <x v="1"/>
    <s v="knjuguna(Kamau Njuguna)"/>
    <s v="Executed"/>
  </r>
  <r>
    <n v="42"/>
    <x v="0"/>
    <s v="U1300 R6.4 - NIC5"/>
    <s v="008 - Meter Program"/>
    <s v="Meter Program -  Remote 4 - Load a full meter program (Meter Program exists in UIQ)"/>
    <s v="1-Critical"/>
    <s v=" "/>
    <x v="3"/>
    <d v="1899-12-30T16:31:50"/>
    <s v="Passed"/>
    <x v="2"/>
    <x v="1"/>
    <s v="knjuguna(Kamau Njuguna)"/>
    <s v="Executed"/>
  </r>
  <r>
    <n v="61"/>
    <x v="0"/>
    <s v="U1300 R6.4 - NIC5"/>
    <s v="008 - Meter Program"/>
    <s v="Meter Program -  export events"/>
    <s v="1-Critical"/>
    <s v=" "/>
    <x v="10"/>
    <d v="1899-12-30T15:42:55"/>
    <s v="Not Completed"/>
    <x v="3"/>
    <x v="1"/>
    <s v="knjuguna(Kamau Njuguna)"/>
    <s v="Executed"/>
  </r>
  <r>
    <n v="40"/>
    <x v="0"/>
    <s v="U1300 R6.4 - NIC5"/>
    <s v="008 - Meter Program"/>
    <s v="Meter program audit"/>
    <s v="1-Critical"/>
    <s v=" "/>
    <x v="1"/>
    <d v="1899-12-30T16:43:43"/>
    <s v="Passed"/>
    <x v="2"/>
    <x v="1"/>
    <s v="knjuguna(Kamau Njuguna)"/>
    <s v="Executed"/>
  </r>
  <r>
    <n v="141"/>
    <x v="0"/>
    <s v="U3400 R6.4 - NIC5"/>
    <s v="008 - Meter Program"/>
    <s v="Meter Program -  NIC program seal"/>
    <s v="1-Critical"/>
    <s v=" "/>
    <x v="12"/>
    <d v="1899-12-30T10:32:25"/>
    <s v="Passed"/>
    <x v="1"/>
    <x v="0"/>
    <s v="mkalra(Manoj Kalra)"/>
    <s v="Executed"/>
  </r>
  <r>
    <n v="141"/>
    <x v="0"/>
    <s v="U1300 R6.4 - NIC3"/>
    <s v="008 - Meter Program"/>
    <s v="Meter Program -  NIC program seal"/>
    <s v="1-Critical"/>
    <s v=" "/>
    <x v="13"/>
    <d v="1899-12-30T15:55:26"/>
    <s v="Passed"/>
    <x v="1"/>
    <x v="1"/>
    <s v="knjuguna(Kamau Njuguna)"/>
    <s v="Executed"/>
  </r>
  <r>
    <n v="141"/>
    <x v="0"/>
    <s v="U1300 R6.4 - NIC5"/>
    <s v="008 - Meter Program"/>
    <s v="Meter Program -  NIC program seal"/>
    <s v="1-Critical"/>
    <s v=" "/>
    <x v="13"/>
    <d v="1899-12-30T16:00:15"/>
    <s v="Passed"/>
    <x v="1"/>
    <x v="1"/>
    <s v="knjuguna(Kamau Njuguna)"/>
    <s v="Executed"/>
  </r>
  <r>
    <n v="141"/>
    <x v="0"/>
    <s v="U3400 R6.4 - NIC3"/>
    <s v="008 - Meter Program"/>
    <s v="Meter Program -  NIC program seal"/>
    <s v="1-Critical"/>
    <s v=" "/>
    <x v="12"/>
    <d v="1899-12-30T10:32:21"/>
    <s v="Passed"/>
    <x v="1"/>
    <x v="0"/>
    <s v="mkalra(Manoj Kalra)"/>
    <s v="Executed"/>
  </r>
  <r>
    <n v="140"/>
    <x v="0"/>
    <s v="U3400 R6.4 - NIC5"/>
    <s v="008 - Meter Program"/>
    <s v="Meter Program -  Partial programming (Remote)"/>
    <s v="1-Critical"/>
    <s v=" "/>
    <x v="0"/>
    <d v="1899-12-30T17:17:01"/>
    <s v="RBT"/>
    <x v="0"/>
    <x v="0"/>
    <s v="mkalra(Manoj Kalra)"/>
    <s v="RBT"/>
  </r>
  <r>
    <n v="140"/>
    <x v="0"/>
    <s v="U3400 R6.4 - NIC3"/>
    <s v="008 - Meter Program"/>
    <s v="Meter Program -  Partial programming (Remote)"/>
    <s v="1-Critical"/>
    <s v=" "/>
    <x v="0"/>
    <d v="1899-12-30T17:16:10"/>
    <s v="RBT"/>
    <x v="0"/>
    <x v="0"/>
    <s v="mkalra(Manoj Kalra)"/>
    <s v="RBT"/>
  </r>
  <r>
    <n v="140"/>
    <x v="0"/>
    <s v="U1300 R6.4 - NIC5"/>
    <s v="008 - Meter Program"/>
    <s v="Meter Program -  Partial programming (Remote)"/>
    <s v="1-Critical"/>
    <s v=" "/>
    <x v="0"/>
    <d v="1899-12-30T17:14:49"/>
    <s v="RBT"/>
    <x v="0"/>
    <x v="0"/>
    <s v="knjuguna(Kamau Njuguna)"/>
    <s v="RBT"/>
  </r>
  <r>
    <n v="140"/>
    <x v="0"/>
    <s v="U1300 R6.4 - NIC3"/>
    <s v="008 - Meter Program"/>
    <s v="Meter Program -  Partial programming (Remote)"/>
    <s v="1-Critical"/>
    <s v=" "/>
    <x v="0"/>
    <d v="1899-12-30T17:14:19"/>
    <s v="RBT"/>
    <x v="0"/>
    <x v="0"/>
    <s v="knjuguna(Kamau Njuguna)"/>
    <s v="RBT"/>
  </r>
  <r>
    <n v="1770"/>
    <x v="0"/>
    <s v="U1300 R6.4 - NIC3"/>
    <s v="008A - Meter Program Tests"/>
    <s v="L&amp;G_LP_Enable"/>
    <s v="3-Medium"/>
    <s v=" "/>
    <x v="14"/>
    <d v="1899-12-30T16:00:22"/>
    <s v="Not Completed"/>
    <x v="1"/>
    <x v="1"/>
    <s v="knjuguna(Kamau Njuguna)"/>
    <s v="Executed"/>
  </r>
  <r>
    <n v="1770"/>
    <x v="0"/>
    <s v="U1300 R6.4 - NIC5"/>
    <s v="008A - Meter Program Tests"/>
    <s v="L&amp;G_LP_Enable"/>
    <s v="3-Medium"/>
    <s v=" "/>
    <x v="14"/>
    <d v="1899-12-30T16:00:35"/>
    <s v="Not Completed"/>
    <x v="1"/>
    <x v="1"/>
    <s v="knjuguna(Kamau Njuguna)"/>
    <s v="Executed"/>
  </r>
  <r>
    <n v="1770"/>
    <x v="0"/>
    <s v="U3400 R6.4 - NIC3"/>
    <s v="008A - Meter Program Tests"/>
    <s v="L&amp;G_LP_Enable"/>
    <s v="3-Medium"/>
    <s v=" "/>
    <x v="4"/>
    <d v="1899-12-30T16:17:10"/>
    <s v="Not Completed"/>
    <x v="1"/>
    <x v="0"/>
    <s v="mkalra(Manoj Kalra)"/>
    <s v="Executed"/>
  </r>
  <r>
    <n v="1770"/>
    <x v="0"/>
    <s v="U3400 R6.4 - NIC5"/>
    <s v="008A - Meter Program Tests"/>
    <s v="L&amp;G_LP_Enable"/>
    <s v="3-Medium"/>
    <s v=" "/>
    <x v="15"/>
    <d v="1899-12-30T14:17:00"/>
    <s v="Not Completed"/>
    <x v="1"/>
    <x v="0"/>
    <s v="mkalra(Manoj Kalra)"/>
    <s v="Executed"/>
  </r>
  <r>
    <n v="111"/>
    <x v="0"/>
    <s v="U3400 R6.4 - NIC3"/>
    <s v="009 - Metrology"/>
    <s v="Meter Accuracy"/>
    <s v="1-Critical"/>
    <s v="Report from L&amp;G is used for this test."/>
    <x v="4"/>
    <d v="1899-12-30T10:58:19"/>
    <s v="Deferred"/>
    <x v="4"/>
    <x v="0"/>
    <s v="mkalra(Manoj Kalra)"/>
    <s v="Executed"/>
  </r>
  <r>
    <n v="1709"/>
    <x v="0"/>
    <s v="U3400 R6.4 - NIC3"/>
    <s v="009 - Metrology"/>
    <s v="Meter Data Integrity - Meter to UIQ (Full)"/>
    <s v="1-Critical"/>
    <s v=" "/>
    <x v="5"/>
    <d v="1899-12-30T14:50:14"/>
    <s v="Passed"/>
    <x v="1"/>
    <x v="0"/>
    <s v="mkalra(Manoj Kalra)"/>
    <s v="Executed"/>
  </r>
  <r>
    <n v="66"/>
    <x v="0"/>
    <s v="U3400 R6.4 - NIC3"/>
    <s v="009 - Metrology"/>
    <s v="AMM - On Demand Read - C1219 Read"/>
    <s v="1-Critical"/>
    <s v=" "/>
    <x v="16"/>
    <d v="1899-12-30T14:02:41"/>
    <s v="Passed"/>
    <x v="1"/>
    <x v="0"/>
    <s v="mkalra(Manoj Kalra)"/>
    <s v="Executed"/>
  </r>
  <r>
    <n v="63"/>
    <x v="0"/>
    <s v="U3400 R6.4 - NIC3"/>
    <s v="009 - Metrology"/>
    <s v="AMM - On Demand Read - Interval"/>
    <s v="1-Critical"/>
    <s v=" "/>
    <x v="16"/>
    <d v="1899-12-30T14:15:11"/>
    <s v="Passed"/>
    <x v="1"/>
    <x v="0"/>
    <s v="mkalra(Manoj Kalra)"/>
    <s v="Executed"/>
  </r>
  <r>
    <n v="62"/>
    <x v="0"/>
    <s v="U3400 R6.4 - NIC3"/>
    <s v="009 - Metrology"/>
    <s v="AMM - On Demand Read - New Data"/>
    <s v="1-Critical"/>
    <s v=" "/>
    <x v="16"/>
    <d v="1899-12-30T15:53:04"/>
    <s v="Passed"/>
    <x v="1"/>
    <x v="0"/>
    <s v="mkalra(Manoj Kalra)"/>
    <s v="Executed"/>
  </r>
  <r>
    <n v="64"/>
    <x v="0"/>
    <s v="U3400 R6.4 - NIC3"/>
    <s v="009 - Metrology"/>
    <s v="AMM - On Demand Read - Register"/>
    <s v="1-Critical"/>
    <s v=" "/>
    <x v="16"/>
    <d v="1899-12-30T17:08:37"/>
    <s v="Passed"/>
    <x v="1"/>
    <x v="0"/>
    <s v="mkalra(Manoj Kalra)"/>
    <s v="Executed"/>
  </r>
  <r>
    <n v="65"/>
    <x v="0"/>
    <s v="U3400 R6.4 - NIC3"/>
    <s v="009 - Metrology"/>
    <s v="AMM - On Demand Read - Stored Self Read"/>
    <s v="1-Critical"/>
    <s v=" "/>
    <x v="15"/>
    <d v="1899-12-30T10:32:35"/>
    <s v="Passed"/>
    <x v="1"/>
    <x v="0"/>
    <s v="mkalra(Manoj Kalra)"/>
    <s v="Executed"/>
  </r>
  <r>
    <n v="59"/>
    <x v="0"/>
    <s v="U3400 R6.4 - NIC3"/>
    <s v="009 - Metrology"/>
    <s v="Meter Data Integrity -  AMM export"/>
    <s v="1-Critical"/>
    <s v=" "/>
    <x v="4"/>
    <d v="1899-12-30T12:52:56"/>
    <s v="Passed"/>
    <x v="1"/>
    <x v="0"/>
    <s v="mkalra(Manoj Kalra)"/>
    <s v="Executed"/>
  </r>
  <r>
    <n v="58"/>
    <x v="0"/>
    <s v="U3400 R6.4 - NIC3"/>
    <s v="009 - Metrology"/>
    <s v="Meter Data Integrity -  EBQK"/>
    <s v="1-Critical"/>
    <s v="MOG group will be doing this test for R64"/>
    <x v="10"/>
    <d v="1899-12-30T11:02:40"/>
    <s v="RBT"/>
    <x v="0"/>
    <x v="0"/>
    <s v="mkalra(Manoj Kalra)"/>
    <s v="RBT"/>
  </r>
  <r>
    <n v="111"/>
    <x v="0"/>
    <s v="U1300 R6.4 - NIC3"/>
    <s v="009 - Metrology"/>
    <s v="Meter Accuracy"/>
    <s v="1-Critical"/>
    <s v=" "/>
    <x v="9"/>
    <d v="1899-12-30T15:37:48"/>
    <s v="Deferred"/>
    <x v="3"/>
    <x v="1"/>
    <s v="knjuguna(Kamau Njuguna)"/>
    <s v="Executed"/>
  </r>
  <r>
    <n v="1709"/>
    <x v="0"/>
    <s v="U1300 R6.4 - NIC3"/>
    <s v="009 - Metrology"/>
    <s v="Meter Data Integrity - Meter to UIQ (Full)"/>
    <s v="1-Critical"/>
    <s v=" "/>
    <x v="1"/>
    <d v="1899-12-30T13:51:42"/>
    <s v="Passed"/>
    <x v="1"/>
    <x v="1"/>
    <s v="knjuguna(Kamau Njuguna)"/>
    <s v="Executed"/>
  </r>
  <r>
    <n v="66"/>
    <x v="0"/>
    <s v="U1300 R6.4 - NIC3"/>
    <s v="009 - Metrology"/>
    <s v="AMM - On Demand Read - C1219 Read"/>
    <s v="1-Critical"/>
    <s v=" "/>
    <x v="0"/>
    <d v="1899-12-30T08:37:39"/>
    <s v="Passed"/>
    <x v="1"/>
    <x v="1"/>
    <s v="knjuguna(Kamau Njuguna)"/>
    <s v="Executed"/>
  </r>
  <r>
    <n v="63"/>
    <x v="0"/>
    <s v="U1300 R6.4 - NIC3"/>
    <s v="009 - Metrology"/>
    <s v="AMM - On Demand Read - Interval"/>
    <s v="1-Critical"/>
    <s v=" "/>
    <x v="0"/>
    <d v="1899-12-30T08:42:20"/>
    <s v="Passed"/>
    <x v="1"/>
    <x v="1"/>
    <s v="knjuguna(Kamau Njuguna)"/>
    <s v="Executed"/>
  </r>
  <r>
    <n v="62"/>
    <x v="0"/>
    <s v="U1300 R6.4 - NIC3"/>
    <s v="009 - Metrology"/>
    <s v="AMM - On Demand Read - New Data"/>
    <s v="1-Critical"/>
    <s v=" "/>
    <x v="0"/>
    <d v="1899-12-30T09:14:33"/>
    <s v="Passed"/>
    <x v="1"/>
    <x v="1"/>
    <s v="knjuguna(Kamau Njuguna)"/>
    <s v="Executed"/>
  </r>
  <r>
    <n v="64"/>
    <x v="0"/>
    <s v="U1300 R6.4 - NIC3"/>
    <s v="009 - Metrology"/>
    <s v="AMM - On Demand Read - Register"/>
    <s v="1-Critical"/>
    <s v=" "/>
    <x v="0"/>
    <d v="1899-12-30T09:21:47"/>
    <s v="Passed"/>
    <x v="1"/>
    <x v="1"/>
    <s v="knjuguna(Kamau Njuguna)"/>
    <s v="Executed"/>
  </r>
  <r>
    <n v="65"/>
    <x v="0"/>
    <s v="U1300 R6.4 - NIC3"/>
    <s v="009 - Metrology"/>
    <s v="AMM - On Demand Read - Stored Self Read"/>
    <s v="1-Critical"/>
    <s v=" "/>
    <x v="0"/>
    <d v="1899-12-30T10:16:12"/>
    <s v="Passed"/>
    <x v="1"/>
    <x v="1"/>
    <s v="knjuguna(Kamau Njuguna)"/>
    <s v="Executed"/>
  </r>
  <r>
    <n v="59"/>
    <x v="0"/>
    <s v="U1300 R6.4 - NIC3"/>
    <s v="009 - Metrology"/>
    <s v="Meter Data Integrity -  AMM export"/>
    <s v="1-Critical"/>
    <s v=" "/>
    <x v="11"/>
    <d v="1899-12-30T10:39:19"/>
    <s v="Passed"/>
    <x v="1"/>
    <x v="1"/>
    <s v="knjuguna(Kamau Njuguna)"/>
    <s v="Executed"/>
  </r>
  <r>
    <n v="58"/>
    <x v="0"/>
    <s v="U1300 R6.4 - NIC3"/>
    <s v="009 - Metrology"/>
    <s v="Meter Data Integrity -  EBQK"/>
    <s v="1-Critical"/>
    <s v="To be covered under meter accuracy test"/>
    <x v="10"/>
    <d v="1899-12-30T11:55:24"/>
    <s v="RBT"/>
    <x v="0"/>
    <x v="1"/>
    <s v="knjuguna(Kamau Njuguna)"/>
    <s v="RBT"/>
  </r>
  <r>
    <n v="111"/>
    <x v="0"/>
    <s v="U3400 R6.4 - NIC5"/>
    <s v="009 - Metrology"/>
    <s v="Meter Accuracy"/>
    <s v="1-Critical"/>
    <s v="Report from L&amp;G is used for this test."/>
    <x v="4"/>
    <d v="1899-12-30T10:58:26"/>
    <s v="Deferred"/>
    <x v="4"/>
    <x v="0"/>
    <s v="mkalra(Manoj Kalra)"/>
    <s v="Executed"/>
  </r>
  <r>
    <n v="1709"/>
    <x v="0"/>
    <s v="U3400 R6.4 - NIC5"/>
    <s v="009 - Metrology"/>
    <s v="Meter Data Integrity - Meter to UIQ (Full)"/>
    <s v="1-Critical"/>
    <s v=" "/>
    <x v="5"/>
    <d v="1899-12-30T15:02:59"/>
    <s v="Passed"/>
    <x v="1"/>
    <x v="0"/>
    <s v="mkalra(Manoj Kalra)"/>
    <s v="Executed"/>
  </r>
  <r>
    <n v="66"/>
    <x v="0"/>
    <s v="U3400 R6.4 - NIC5"/>
    <s v="009 - Metrology"/>
    <s v="AMM - On Demand Read - C1219 Read"/>
    <s v="1-Critical"/>
    <s v=" "/>
    <x v="16"/>
    <d v="1899-12-30T14:02:46"/>
    <s v="Passed"/>
    <x v="1"/>
    <x v="0"/>
    <s v="mkalra(Manoj Kalra)"/>
    <s v="Executed"/>
  </r>
  <r>
    <n v="63"/>
    <x v="0"/>
    <s v="U3400 R6.4 - NIC5"/>
    <s v="009 - Metrology"/>
    <s v="AMM - On Demand Read - Interval"/>
    <s v="1-Critical"/>
    <s v=" "/>
    <x v="16"/>
    <d v="1899-12-30T14:15:14"/>
    <s v="Passed"/>
    <x v="1"/>
    <x v="0"/>
    <s v="mkalra(Manoj Kalra)"/>
    <s v="Executed"/>
  </r>
  <r>
    <n v="62"/>
    <x v="0"/>
    <s v="U3400 R6.4 - NIC5"/>
    <s v="009 - Metrology"/>
    <s v="AMM - On Demand Read - New Data"/>
    <s v="1-Critical"/>
    <s v=" "/>
    <x v="16"/>
    <d v="1899-12-30T15:53:08"/>
    <s v="Passed"/>
    <x v="1"/>
    <x v="0"/>
    <s v="mkalra(Manoj Kalra)"/>
    <s v="Executed"/>
  </r>
  <r>
    <n v="64"/>
    <x v="0"/>
    <s v="U3400 R6.4 - NIC5"/>
    <s v="009 - Metrology"/>
    <s v="AMM - On Demand Read - Register"/>
    <s v="1-Critical"/>
    <s v=" "/>
    <x v="16"/>
    <d v="1899-12-30T17:07:16"/>
    <s v="Passed"/>
    <x v="1"/>
    <x v="0"/>
    <s v="mkalra(Manoj Kalra)"/>
    <s v="Executed"/>
  </r>
  <r>
    <n v="65"/>
    <x v="0"/>
    <s v="U3400 R6.4 - NIC5"/>
    <s v="009 - Metrology"/>
    <s v="AMM - On Demand Read - Stored Self Read"/>
    <s v="1-Critical"/>
    <s v=" "/>
    <x v="15"/>
    <d v="1899-12-30T10:33:47"/>
    <s v="Passed"/>
    <x v="1"/>
    <x v="0"/>
    <s v="mkalra(Manoj Kalra)"/>
    <s v="Executed"/>
  </r>
  <r>
    <n v="59"/>
    <x v="0"/>
    <s v="U3400 R6.4 - NIC5"/>
    <s v="009 - Metrology"/>
    <s v="Meter Data Integrity -  AMM export"/>
    <s v="1-Critical"/>
    <s v=" "/>
    <x v="4"/>
    <d v="1899-12-30T12:34:26"/>
    <s v="Passed"/>
    <x v="1"/>
    <x v="0"/>
    <s v="mkalra(Manoj Kalra)"/>
    <s v="Executed"/>
  </r>
  <r>
    <n v="58"/>
    <x v="0"/>
    <s v="U3400 R6.4 - NIC5"/>
    <s v="009 - Metrology"/>
    <s v="Meter Data Integrity -  EBQK"/>
    <s v="1-Critical"/>
    <s v="MOG group will be doing this test for R64"/>
    <x v="10"/>
    <d v="1899-12-30T10:49:12"/>
    <s v="RBT"/>
    <x v="4"/>
    <x v="0"/>
    <s v="mkalra(Manoj Kalra)"/>
    <s v="Executed"/>
  </r>
  <r>
    <n v="111"/>
    <x v="0"/>
    <s v="U1300 R6.4 - NIC5"/>
    <s v="009 - Metrology"/>
    <s v="Meter Accuracy"/>
    <s v="1-Critical"/>
    <s v=" "/>
    <x v="10"/>
    <d v="1899-12-30T11:53:33"/>
    <s v="Deferred"/>
    <x v="4"/>
    <x v="1"/>
    <s v="knjuguna(Kamau Njuguna)"/>
    <s v="Executed"/>
  </r>
  <r>
    <n v="1709"/>
    <x v="0"/>
    <s v="U1300 R6.4 - NIC5"/>
    <s v="009 - Metrology"/>
    <s v="Meter Data Integrity - Meter to UIQ (Full)"/>
    <s v="1-Critical"/>
    <s v=" "/>
    <x v="10"/>
    <d v="1899-12-30T15:21:28"/>
    <s v="Passed"/>
    <x v="1"/>
    <x v="1"/>
    <s v="knjuguna(Kamau Njuguna)"/>
    <s v="Executed"/>
  </r>
  <r>
    <n v="66"/>
    <x v="0"/>
    <s v="U1300 R6.4 - NIC5"/>
    <s v="009 - Metrology"/>
    <s v="AMM - On Demand Read - C1219 Read"/>
    <s v="1-Critical"/>
    <s v=" "/>
    <x v="12"/>
    <d v="1899-12-30T13:39:18"/>
    <s v="Passed"/>
    <x v="1"/>
    <x v="1"/>
    <s v="knjuguna(Kamau Njuguna)"/>
    <s v="Executed"/>
  </r>
  <r>
    <n v="63"/>
    <x v="0"/>
    <s v="U1300 R6.4 - NIC5"/>
    <s v="009 - Metrology"/>
    <s v="AMM - On Demand Read - Interval"/>
    <s v="1-Critical"/>
    <s v=" "/>
    <x v="12"/>
    <d v="1899-12-30T13:45:25"/>
    <s v="Passed"/>
    <x v="1"/>
    <x v="1"/>
    <s v="knjuguna(Kamau Njuguna)"/>
    <s v="Executed"/>
  </r>
  <r>
    <n v="62"/>
    <x v="0"/>
    <s v="U1300 R6.4 - NIC5"/>
    <s v="009 - Metrology"/>
    <s v="AMM - On Demand Read - New Data"/>
    <s v="1-Critical"/>
    <s v=" "/>
    <x v="12"/>
    <d v="1899-12-30T14:28:14"/>
    <s v="Passed"/>
    <x v="1"/>
    <x v="1"/>
    <s v="knjuguna(Kamau Njuguna)"/>
    <s v="Executed"/>
  </r>
  <r>
    <n v="64"/>
    <x v="0"/>
    <s v="U1300 R6.4 - NIC5"/>
    <s v="009 - Metrology"/>
    <s v="AMM - On Demand Read - Register"/>
    <s v="1-Critical"/>
    <s v=" "/>
    <x v="12"/>
    <d v="1899-12-30T14:29:53"/>
    <s v="Passed"/>
    <x v="1"/>
    <x v="1"/>
    <s v="knjuguna(Kamau Njuguna)"/>
    <s v="Executed"/>
  </r>
  <r>
    <n v="65"/>
    <x v="0"/>
    <s v="U1300 R6.4 - NIC5"/>
    <s v="009 - Metrology"/>
    <s v="AMM - On Demand Read - Stored Self Read"/>
    <s v="1-Critical"/>
    <s v=" "/>
    <x v="12"/>
    <d v="1899-12-30T14:34:10"/>
    <s v="Passed"/>
    <x v="1"/>
    <x v="1"/>
    <s v="knjuguna(Kamau Njuguna)"/>
    <s v="Executed"/>
  </r>
  <r>
    <n v="59"/>
    <x v="0"/>
    <s v="U1300 R6.4 - NIC5"/>
    <s v="009 - Metrology"/>
    <s v="Meter Data Integrity -  AMM export"/>
    <s v="1-Critical"/>
    <s v=" "/>
    <x v="11"/>
    <d v="1899-12-30T11:14:36"/>
    <s v="Passed"/>
    <x v="1"/>
    <x v="1"/>
    <s v="knjuguna(Kamau Njuguna)"/>
    <s v="Executed"/>
  </r>
  <r>
    <n v="58"/>
    <x v="0"/>
    <s v="U1300 R6.4 - NIC5"/>
    <s v="009 - Metrology"/>
    <s v="Meter Data Integrity -  EBQK"/>
    <s v="1-Critical"/>
    <s v="Test to be covered under meter accuracy test"/>
    <x v="10"/>
    <d v="1899-12-30T11:53:28"/>
    <s v="RBT"/>
    <x v="0"/>
    <x v="1"/>
    <s v="knjuguna(Kamau Njuguna)"/>
    <s v="RBT"/>
  </r>
  <r>
    <n v="1710"/>
    <x v="0"/>
    <s v="U1300 R6.4 - NIC3"/>
    <s v="009 - Metrology"/>
    <s v="Meter Data Integrity - Meter to UIQ (Sanity)"/>
    <s v="1-Critical"/>
    <s v=" "/>
    <x v="14"/>
    <d v="1899-12-30T10:07:57"/>
    <s v="Passed"/>
    <x v="1"/>
    <x v="1"/>
    <s v="knjuguna(Kamau Njuguna)"/>
    <s v="Executed"/>
  </r>
  <r>
    <n v="1710"/>
    <x v="0"/>
    <s v="U1300 R6.4 - NIC5"/>
    <s v="009 - Metrology"/>
    <s v="Meter Data Integrity - Meter to UIQ (Sanity)"/>
    <s v="1-Critical"/>
    <s v=" "/>
    <x v="14"/>
    <d v="1899-12-30T11:31:09"/>
    <s v="Passed"/>
    <x v="1"/>
    <x v="1"/>
    <s v="knjuguna(Kamau Njuguna)"/>
    <s v="Executed"/>
  </r>
  <r>
    <n v="1710"/>
    <x v="0"/>
    <s v="U3400 R6.4 - NIC3"/>
    <s v="009 - Metrology"/>
    <s v="Meter Data Integrity - Meter to UIQ (Sanity)"/>
    <s v="1-Critical"/>
    <s v=" "/>
    <x v="5"/>
    <d v="1899-12-30T12:09:02"/>
    <s v="Passed"/>
    <x v="1"/>
    <x v="0"/>
    <s v="mkalra(Manoj Kalra)"/>
    <s v="Executed"/>
  </r>
  <r>
    <n v="1710"/>
    <x v="0"/>
    <s v="U3400 R6.4 - NIC5"/>
    <s v="009 - Metrology"/>
    <s v="Meter Data Integrity - Meter to UIQ (Sanity)"/>
    <s v="1-Critical"/>
    <s v=" "/>
    <x v="5"/>
    <d v="1899-12-30T12:08:50"/>
    <s v="Passed"/>
    <x v="1"/>
    <x v="0"/>
    <s v="mkalra(Manoj Kalra)"/>
    <s v="Executed"/>
  </r>
  <r>
    <n v="33"/>
    <x v="0"/>
    <s v="U1300 R6.4 - NIC3"/>
    <s v="009 - Metrology"/>
    <s v="AMM - On Demand Read - NIC Event Log"/>
    <s v="1-Critical"/>
    <s v=" "/>
    <x v="13"/>
    <d v="1899-12-30T16:10:58"/>
    <s v="Passed"/>
    <x v="1"/>
    <x v="1"/>
    <s v="knjuguna(Kamau Njuguna)"/>
    <s v="Executed"/>
  </r>
  <r>
    <n v="33"/>
    <x v="0"/>
    <s v="U1300 R6.4 - NIC5"/>
    <s v="009 - Metrology"/>
    <s v="AMM - On Demand Read - NIC Event Log"/>
    <s v="1-Critical"/>
    <s v=" "/>
    <x v="13"/>
    <d v="1899-12-30T16:11:42"/>
    <s v="Passed"/>
    <x v="1"/>
    <x v="1"/>
    <s v="knjuguna(Kamau Njuguna)"/>
    <s v="Executed"/>
  </r>
  <r>
    <n v="33"/>
    <x v="0"/>
    <s v="U3400 R6.4 - NIC3"/>
    <s v="009 - Metrology"/>
    <s v="AMM - On Demand Read - NIC Event Log"/>
    <s v="1-Critical"/>
    <s v=" "/>
    <x v="15"/>
    <d v="1899-12-30T11:03:28"/>
    <s v="Passed"/>
    <x v="1"/>
    <x v="0"/>
    <s v="mkalra(Manoj Kalra)"/>
    <s v="Executed"/>
  </r>
  <r>
    <n v="33"/>
    <x v="0"/>
    <s v="U3400 R6.4 - NIC5"/>
    <s v="009 - Metrology"/>
    <s v="AMM - On Demand Read - NIC Event Log"/>
    <s v="1-Critical"/>
    <s v=" "/>
    <x v="15"/>
    <d v="1899-12-30T11:04:11"/>
    <s v="Passed"/>
    <x v="1"/>
    <x v="0"/>
    <s v="mkalra(Manoj Kalra)"/>
    <s v="Executed"/>
  </r>
  <r>
    <n v="60"/>
    <x v="0"/>
    <s v="U1300 R6.4 - NIC3"/>
    <s v="009 - Metrology"/>
    <s v="Meter display -  register resolution"/>
    <s v="3-Medium"/>
    <s v=" "/>
    <x v="11"/>
    <d v="1899-12-30T16:32:46"/>
    <s v="Passed"/>
    <x v="1"/>
    <x v="1"/>
    <s v="knjuguna(Kamau Njuguna)"/>
    <s v="Executed"/>
  </r>
  <r>
    <n v="60"/>
    <x v="0"/>
    <s v="U1300 R6.4 - NIC5"/>
    <s v="009 - Metrology"/>
    <s v="Meter display -  register resolution"/>
    <s v="3-Medium"/>
    <s v=" "/>
    <x v="11"/>
    <d v="1899-12-30T16:33:47"/>
    <s v="Passed"/>
    <x v="1"/>
    <x v="1"/>
    <s v="knjuguna(Kamau Njuguna)"/>
    <s v="Executed"/>
  </r>
  <r>
    <n v="60"/>
    <x v="0"/>
    <s v="U3400 R6.4 - NIC3"/>
    <s v="009 - Metrology"/>
    <s v="Meter display -  register resolution"/>
    <s v="3-Medium"/>
    <s v=" "/>
    <x v="11"/>
    <d v="1899-12-30T12:16:25"/>
    <s v="Passed"/>
    <x v="1"/>
    <x v="0"/>
    <s v="mkalra(Manoj Kalra)"/>
    <s v="Executed"/>
  </r>
  <r>
    <n v="60"/>
    <x v="0"/>
    <s v="U3400 R6.4 - NIC5"/>
    <s v="009 - Metrology"/>
    <s v="Meter display -  register resolution"/>
    <s v="3-Medium"/>
    <s v=" "/>
    <x v="11"/>
    <d v="1899-12-30T12:15:52"/>
    <s v="Passed"/>
    <x v="1"/>
    <x v="0"/>
    <s v="mkalra(Manoj Kalra)"/>
    <s v="Executed"/>
  </r>
  <r>
    <n v="144"/>
    <x v="0"/>
    <s v="U3400 R6.4 - NIC3"/>
    <s v="010 - Supply Contactor"/>
    <s v="Meter supply contactor - Arm Remotely"/>
    <s v="3-Medium"/>
    <s v=" "/>
    <x v="11"/>
    <d v="1899-12-30T16:03:40"/>
    <s v="N/A"/>
    <x v="5"/>
    <x v="0"/>
    <s v="mkalra(Manoj Kalra)"/>
    <s v="No Run"/>
  </r>
  <r>
    <n v="69"/>
    <x v="0"/>
    <s v="U3400 R6.4 - NIC3"/>
    <s v="010 - Supply Contactor"/>
    <s v="Meter supply contactor - Remote Lockout"/>
    <s v="1-Critical"/>
    <s v=" "/>
    <x v="12"/>
    <d v="1899-12-30T16:15:12"/>
    <s v="Passed"/>
    <x v="1"/>
    <x v="0"/>
    <s v="mkalra(Manoj Kalra)"/>
    <s v="Executed"/>
  </r>
  <r>
    <n v="68"/>
    <x v="0"/>
    <s v="U3400 R6.4 - NIC3"/>
    <s v="010 - Supply Contactor"/>
    <s v="Meter supply contactor connect disconnect - local"/>
    <s v="1-Critical"/>
    <s v=" "/>
    <x v="12"/>
    <d v="1899-12-30T17:12:38"/>
    <s v="Passed"/>
    <x v="1"/>
    <x v="0"/>
    <s v="mkalra(Manoj Kalra)"/>
    <s v="Executed"/>
  </r>
  <r>
    <n v="67"/>
    <x v="0"/>
    <s v="U3400 R6.4 - NIC3"/>
    <s v="010 - Supply Contactor"/>
    <s v="Meter supply contactor connect disconnect - remote"/>
    <s v="1-Critical"/>
    <s v=" "/>
    <x v="12"/>
    <d v="1899-12-30T17:29:00"/>
    <s v="Passed"/>
    <x v="1"/>
    <x v="0"/>
    <s v="mkalra(Manoj Kalra)"/>
    <s v="Executed"/>
  </r>
  <r>
    <n v="144"/>
    <x v="0"/>
    <s v="U1300 R6.4 - NIC3"/>
    <s v="010 - Supply Contactor"/>
    <s v="Meter supply contactor - Arm Remotely"/>
    <s v="3-Medium"/>
    <s v=" "/>
    <x v="14"/>
    <d v="1899-12-30T08:40:52"/>
    <s v="N/A"/>
    <x v="5"/>
    <x v="1"/>
    <s v="knjuguna(Kamau Njuguna)"/>
    <s v="No Run"/>
  </r>
  <r>
    <n v="69"/>
    <x v="0"/>
    <s v="U1300 R6.4 - NIC3"/>
    <s v="010 - Supply Contactor"/>
    <s v="Meter supply contactor - Remote Lockout"/>
    <s v="1-Critical"/>
    <s v=" "/>
    <x v="11"/>
    <d v="1899-12-30T13:30:18"/>
    <s v="Passed"/>
    <x v="1"/>
    <x v="1"/>
    <s v="knjuguna(Kamau Njuguna)"/>
    <s v="Executed"/>
  </r>
  <r>
    <n v="68"/>
    <x v="0"/>
    <s v="U1300 R6.4 - NIC3"/>
    <s v="010 - Supply Contactor"/>
    <s v="Meter supply contactor connect disconnect - local"/>
    <s v="1-Critical"/>
    <s v=" "/>
    <x v="3"/>
    <d v="1899-12-30T16:40:16"/>
    <s v="Passed"/>
    <x v="1"/>
    <x v="1"/>
    <s v="knjuguna(Kamau Njuguna)"/>
    <s v="Executed"/>
  </r>
  <r>
    <n v="67"/>
    <x v="0"/>
    <s v="U1300 R6.4 - NIC3"/>
    <s v="010 - Supply Contactor"/>
    <s v="Meter supply contactor connect disconnect - remote"/>
    <s v="1-Critical"/>
    <s v=" "/>
    <x v="3"/>
    <d v="1899-12-30T15:18:56"/>
    <s v="Passed"/>
    <x v="1"/>
    <x v="1"/>
    <s v="knjuguna(Kamau Njuguna)"/>
    <s v="Executed"/>
  </r>
  <r>
    <n v="144"/>
    <x v="0"/>
    <s v="U3400 R6.4 - NIC5"/>
    <s v="010 - Supply Contactor"/>
    <s v="Meter supply contactor - Arm Remotely"/>
    <s v="3-Medium"/>
    <s v=" "/>
    <x v="11"/>
    <d v="1899-12-30T16:04:37"/>
    <s v="N/A"/>
    <x v="5"/>
    <x v="0"/>
    <s v="mkalra(Manoj Kalra)"/>
    <s v="No Run"/>
  </r>
  <r>
    <n v="69"/>
    <x v="0"/>
    <s v="U3400 R6.4 - NIC5"/>
    <s v="010 - Supply Contactor"/>
    <s v="Meter supply contactor - Remote Lockout"/>
    <s v="1-Critical"/>
    <s v=" "/>
    <x v="12"/>
    <d v="1899-12-30T16:15:16"/>
    <s v="Passed"/>
    <x v="1"/>
    <x v="0"/>
    <s v="mkalra(Manoj Kalra)"/>
    <s v="Executed"/>
  </r>
  <r>
    <n v="68"/>
    <x v="0"/>
    <s v="U3400 R6.4 - NIC5"/>
    <s v="010 - Supply Contactor"/>
    <s v="Meter supply contactor connect disconnect - local"/>
    <s v="1-Critical"/>
    <s v=" "/>
    <x v="12"/>
    <d v="1899-12-30T17:11:37"/>
    <s v="Passed"/>
    <x v="1"/>
    <x v="0"/>
    <s v="mkalra(Manoj Kalra)"/>
    <s v="Executed"/>
  </r>
  <r>
    <n v="67"/>
    <x v="0"/>
    <s v="U3400 R6.4 - NIC5"/>
    <s v="010 - Supply Contactor"/>
    <s v="Meter supply contactor connect disconnect - remote"/>
    <s v="1-Critical"/>
    <s v=" "/>
    <x v="12"/>
    <d v="1899-12-30T17:28:55"/>
    <s v="Passed"/>
    <x v="1"/>
    <x v="0"/>
    <s v="mkalra(Manoj Kalra)"/>
    <s v="Executed"/>
  </r>
  <r>
    <n v="144"/>
    <x v="0"/>
    <s v="U1300 R6.4 - NIC5"/>
    <s v="010 - Supply Contactor"/>
    <s v="Meter supply contactor - Arm Remotely"/>
    <s v="3-Medium"/>
    <s v="Not applicable to L&amp;G meters"/>
    <x v="10"/>
    <d v="1899-12-30T11:54:13"/>
    <s v="N/A"/>
    <x v="5"/>
    <x v="1"/>
    <s v="knjuguna(Kamau Njuguna)"/>
    <s v="No Run"/>
  </r>
  <r>
    <n v="69"/>
    <x v="0"/>
    <s v="U1300 R6.4 - NIC5"/>
    <s v="010 - Supply Contactor"/>
    <s v="Meter supply contactor - Remote Lockout"/>
    <s v="1-Critical"/>
    <s v=" "/>
    <x v="11"/>
    <d v="1899-12-30T15:08:57"/>
    <s v="Passed"/>
    <x v="1"/>
    <x v="1"/>
    <s v="knjuguna(Kamau Njuguna)"/>
    <s v="Executed"/>
  </r>
  <r>
    <n v="68"/>
    <x v="0"/>
    <s v="U1300 R6.4 - NIC5"/>
    <s v="010 - Supply Contactor"/>
    <s v="Meter supply contactor connect disconnect - local"/>
    <s v="1-Critical"/>
    <s v=" "/>
    <x v="3"/>
    <d v="1899-12-30T16:43:21"/>
    <s v="Passed"/>
    <x v="1"/>
    <x v="1"/>
    <s v="knjuguna(Kamau Njuguna)"/>
    <s v="Executed"/>
  </r>
  <r>
    <n v="67"/>
    <x v="0"/>
    <s v="U1300 R6.4 - NIC5"/>
    <s v="010 - Supply Contactor"/>
    <s v="Meter supply contactor connect disconnect - remote"/>
    <s v="1-Critical"/>
    <s v=" "/>
    <x v="3"/>
    <d v="1899-12-30T15:24:22"/>
    <s v="Passed"/>
    <x v="1"/>
    <x v="1"/>
    <s v="knjuguna(Kamau Njuguna)"/>
    <s v="Executed"/>
  </r>
  <r>
    <n v="71"/>
    <x v="0"/>
    <s v="U3400 R6.4 - NIC3"/>
    <s v="011 - Auto-Disconnection"/>
    <s v="Auto-Disconnect - Disabled"/>
    <s v="1-Critical"/>
    <s v=" "/>
    <x v="1"/>
    <d v="1899-12-30T10:07:03"/>
    <s v="Passed"/>
    <x v="1"/>
    <x v="0"/>
    <s v="mkalra(Manoj Kalra)"/>
    <s v="Executed"/>
  </r>
  <r>
    <n v="70"/>
    <x v="0"/>
    <s v="U3400 R6.4 - NIC3"/>
    <s v="011 - Auto-Disconnection"/>
    <s v="Auto-Disconnect - Enabled"/>
    <s v="1-Critical"/>
    <s v=" "/>
    <x v="1"/>
    <d v="1899-12-30T12:13:23"/>
    <s v="Passed"/>
    <x v="1"/>
    <x v="0"/>
    <s v="mkalra(Manoj Kalra)"/>
    <s v="Executed"/>
  </r>
  <r>
    <n v="185"/>
    <x v="0"/>
    <s v="U3400 R6.4 - NIC3"/>
    <s v="011 - Auto-Disconnection"/>
    <s v="Auto-Disconnect - Override For NAP (L+G)"/>
    <s v="2-High"/>
    <s v=" "/>
    <x v="1"/>
    <d v="1899-12-30T12:58:20"/>
    <s v="Passed"/>
    <x v="1"/>
    <x v="0"/>
    <s v="mkalra(Manoj Kalra)"/>
    <s v="Executed"/>
  </r>
  <r>
    <n v="89"/>
    <x v="0"/>
    <s v="U3400 R6.4 - NIC3"/>
    <s v="011 - Auto-Disconnection"/>
    <s v="Auto-Disconnect - Remote Lockout"/>
    <s v="4-Low"/>
    <s v=" "/>
    <x v="1"/>
    <d v="1899-12-30T13:21:58"/>
    <s v="Passed"/>
    <x v="1"/>
    <x v="0"/>
    <s v="mkalra(Manoj Kalra)"/>
    <s v="Executed"/>
  </r>
  <r>
    <n v="71"/>
    <x v="0"/>
    <s v="U1300 R6.4 - NIC3"/>
    <s v="011 - Auto-Disconnection"/>
    <s v="Auto-Disconnect - Disabled"/>
    <s v="1-Critical"/>
    <s v=" "/>
    <x v="7"/>
    <d v="1899-12-30T09:37:27"/>
    <s v="Passed"/>
    <x v="1"/>
    <x v="1"/>
    <s v="knjuguna(Kamau Njuguna)"/>
    <s v="Executed"/>
  </r>
  <r>
    <n v="70"/>
    <x v="0"/>
    <s v="U1300 R6.4 - NIC3"/>
    <s v="011 - Auto-Disconnection"/>
    <s v="Auto-Disconnect - Enabled"/>
    <s v="1-Critical"/>
    <s v=" "/>
    <x v="7"/>
    <d v="1899-12-30T08:56:38"/>
    <s v="Passed"/>
    <x v="1"/>
    <x v="1"/>
    <s v="knjuguna(Kamau Njuguna)"/>
    <s v="Executed"/>
  </r>
  <r>
    <n v="185"/>
    <x v="0"/>
    <s v="U1300 R6.4 - NIC3"/>
    <s v="011 - Auto-Disconnection"/>
    <s v="Auto-Disconnect - Override For NAP (L+G)"/>
    <s v="2-High"/>
    <s v=" "/>
    <x v="7"/>
    <d v="1899-12-30T10:50:11"/>
    <s v="Passed"/>
    <x v="1"/>
    <x v="1"/>
    <s v="knjuguna(Kamau Njuguna)"/>
    <s v="Executed"/>
  </r>
  <r>
    <n v="89"/>
    <x v="0"/>
    <s v="U1300 R6.4 - NIC3"/>
    <s v="011 - Auto-Disconnection"/>
    <s v="Auto-Disconnect - Remote Lockout"/>
    <s v="4-Low"/>
    <s v=" "/>
    <x v="7"/>
    <d v="1899-12-30T11:03:36"/>
    <s v="Passed"/>
    <x v="1"/>
    <x v="1"/>
    <s v="knjuguna(Kamau Njuguna)"/>
    <s v="Executed"/>
  </r>
  <r>
    <n v="71"/>
    <x v="0"/>
    <s v="U3400 R6.4 - NIC5"/>
    <s v="011 - Auto-Disconnection"/>
    <s v="Auto-Disconnect - Disabled"/>
    <s v="1-Critical"/>
    <s v=" "/>
    <x v="1"/>
    <d v="1899-12-30T10:07:00"/>
    <s v="Passed"/>
    <x v="1"/>
    <x v="0"/>
    <s v="mkalra(Manoj Kalra)"/>
    <s v="Executed"/>
  </r>
  <r>
    <n v="70"/>
    <x v="0"/>
    <s v="U3400 R6.4 - NIC5"/>
    <s v="011 - Auto-Disconnection"/>
    <s v="Auto-Disconnect - Enabled"/>
    <s v="1-Critical"/>
    <s v=" "/>
    <x v="1"/>
    <d v="1899-12-30T12:58:43"/>
    <s v="Passed"/>
    <x v="1"/>
    <x v="0"/>
    <s v="mkalra(Manoj Kalra)"/>
    <s v="Executed"/>
  </r>
  <r>
    <n v="185"/>
    <x v="0"/>
    <s v="U3400 R6.4 - NIC5"/>
    <s v="011 - Auto-Disconnection"/>
    <s v="Auto-Disconnect - Override For NAP (L+G)"/>
    <s v="2-High"/>
    <s v=" "/>
    <x v="1"/>
    <d v="1899-12-30T12:58:22"/>
    <s v="Passed"/>
    <x v="1"/>
    <x v="0"/>
    <s v="mkalra(Manoj Kalra)"/>
    <s v="Executed"/>
  </r>
  <r>
    <n v="89"/>
    <x v="0"/>
    <s v="U3400 R6.4 - NIC5"/>
    <s v="011 - Auto-Disconnection"/>
    <s v="Auto-Disconnect - Remote Lockout"/>
    <s v="4-Low"/>
    <s v=" "/>
    <x v="1"/>
    <d v="1899-12-30T13:21:51"/>
    <s v="Passed"/>
    <x v="1"/>
    <x v="0"/>
    <s v="mkalra(Manoj Kalra)"/>
    <s v="Executed"/>
  </r>
  <r>
    <n v="71"/>
    <x v="0"/>
    <s v="U1300 R6.4 - NIC5"/>
    <s v="011 - Auto-Disconnection"/>
    <s v="Auto-Disconnect - Disabled"/>
    <s v="1-Critical"/>
    <s v=" "/>
    <x v="7"/>
    <d v="1899-12-30T09:43:50"/>
    <s v="Passed"/>
    <x v="1"/>
    <x v="1"/>
    <s v="knjuguna(Kamau Njuguna)"/>
    <s v="Executed"/>
  </r>
  <r>
    <n v="70"/>
    <x v="0"/>
    <s v="U1300 R6.4 - NIC5"/>
    <s v="011 - Auto-Disconnection"/>
    <s v="Auto-Disconnect - Enabled"/>
    <s v="1-Critical"/>
    <s v=" "/>
    <x v="7"/>
    <d v="1899-12-30T08:58:28"/>
    <s v="Passed"/>
    <x v="1"/>
    <x v="1"/>
    <s v="knjuguna(Kamau Njuguna)"/>
    <s v="Executed"/>
  </r>
  <r>
    <n v="185"/>
    <x v="0"/>
    <s v="U1300 R6.4 - NIC5"/>
    <s v="011 - Auto-Disconnection"/>
    <s v="Auto-Disconnect - Override For NAP (L+G)"/>
    <s v="2-High"/>
    <s v=" "/>
    <x v="7"/>
    <d v="1899-12-30T10:50:19"/>
    <s v="Passed"/>
    <x v="1"/>
    <x v="1"/>
    <s v="knjuguna(Kamau Njuguna)"/>
    <s v="Executed"/>
  </r>
  <r>
    <n v="89"/>
    <x v="0"/>
    <s v="U1300 R6.4 - NIC5"/>
    <s v="011 - Auto-Disconnection"/>
    <s v="Auto-Disconnect - Remote Lockout"/>
    <s v="4-Low"/>
    <s v=" "/>
    <x v="7"/>
    <d v="1899-12-30T11:10:04"/>
    <s v="Passed"/>
    <x v="1"/>
    <x v="1"/>
    <s v="knjuguna(Kamau Njuguna)"/>
    <s v="Executed"/>
  </r>
  <r>
    <n v="74"/>
    <x v="0"/>
    <s v="U3400 R6.4 - NIC3"/>
    <s v="012 - Load Contactor"/>
    <s v="Meter load contactor - remote override (close)"/>
    <s v="1-Critical"/>
    <s v=" "/>
    <x v="8"/>
    <d v="1899-12-30T09:55:07"/>
    <s v="Passed"/>
    <x v="1"/>
    <x v="0"/>
    <s v="mkalra(Manoj Kalra)"/>
    <s v="Executed"/>
  </r>
  <r>
    <n v="73"/>
    <x v="0"/>
    <s v="U3400 R6.4 - NIC3"/>
    <s v="012 - Load Contactor"/>
    <s v="Meter load contactor - remote override (open)"/>
    <s v="1-Critical"/>
    <s v=" "/>
    <x v="8"/>
    <d v="1899-12-30T11:03:11"/>
    <s v="Failed"/>
    <x v="2"/>
    <x v="0"/>
    <s v="mkalra(Manoj Kalra)"/>
    <s v="Executed"/>
  </r>
  <r>
    <n v="75"/>
    <x v="0"/>
    <s v="U3400 R6.4 - NIC3"/>
    <s v="012 - Load Contactor"/>
    <s v="Meter load contactor - switching schedule 5-on-5-off"/>
    <s v="1-Critical"/>
    <s v=" "/>
    <x v="11"/>
    <d v="1899-12-30T10:22:34"/>
    <s v="Passed"/>
    <x v="1"/>
    <x v="0"/>
    <s v="mkalra(Manoj Kalra)"/>
    <s v="Executed"/>
  </r>
  <r>
    <n v="122"/>
    <x v="0"/>
    <s v="U3400 R6.4 - NIC3"/>
    <s v="012 - Load Contactor"/>
    <s v="Boost Primacy - Boost time longer than LC override"/>
    <s v="2-High"/>
    <s v=" "/>
    <x v="3"/>
    <d v="1899-12-30T16:18:25"/>
    <s v="Passed"/>
    <x v="1"/>
    <x v="0"/>
    <s v="mkalra(Manoj Kalra)"/>
    <s v="Executed"/>
  </r>
  <r>
    <n v="123"/>
    <x v="0"/>
    <s v="U3400 R6.4 - NIC3"/>
    <s v="012 - Load Contactor"/>
    <s v="Boost Primacy - Disabled"/>
    <s v="2-High"/>
    <s v=" "/>
    <x v="8"/>
    <d v="1899-12-30T13:20:24"/>
    <s v="Passed"/>
    <x v="1"/>
    <x v="0"/>
    <s v="mkalra(Manoj Kalra)"/>
    <s v="Executed"/>
  </r>
  <r>
    <n v="1725"/>
    <x v="0"/>
    <s v="U3400 R6.4 - NIC3"/>
    <s v="012 - Load Contactor"/>
    <s v="Boost Primacy - Enable-Disable"/>
    <s v="2-High"/>
    <s v=" "/>
    <x v="8"/>
    <d v="1899-12-30T15:00:07"/>
    <s v="Failed"/>
    <x v="2"/>
    <x v="0"/>
    <s v="mkalra(Manoj Kalra)"/>
    <s v="Executed"/>
  </r>
  <r>
    <n v="90"/>
    <x v="0"/>
    <s v="U3400 R6.4 - NIC3"/>
    <s v="012 - Load Contactor"/>
    <s v="Boost operation - Disabled"/>
    <s v="2-High"/>
    <s v=" "/>
    <x v="0"/>
    <d v="1899-12-30T09:38:15"/>
    <s v="Passed"/>
    <x v="1"/>
    <x v="0"/>
    <s v="mkalra(Manoj Kalra)"/>
    <s v="Executed"/>
  </r>
  <r>
    <n v="76"/>
    <x v="0"/>
    <s v="U3400 R6.4 - NIC3"/>
    <s v="012 - Load Contactor"/>
    <s v="Boost operation - Enabled - Boost (Boost Duration) minutes"/>
    <s v="1-Critical"/>
    <s v=" "/>
    <x v="0"/>
    <d v="1899-12-30T12:36:32"/>
    <s v="Passed"/>
    <x v="1"/>
    <x v="0"/>
    <s v="mkalra(Manoj Kalra)"/>
    <s v="Executed"/>
  </r>
  <r>
    <n v="74"/>
    <x v="0"/>
    <s v="U1300 R6.4 - NIC3"/>
    <s v="012 - Load Contactor"/>
    <s v="Meter load contactor - remote override (close)"/>
    <s v="1-Critical"/>
    <s v=" "/>
    <x v="8"/>
    <d v="1899-12-30T14:10:39"/>
    <s v="Passed"/>
    <x v="1"/>
    <x v="1"/>
    <s v="knjuguna(Kamau Njuguna)"/>
    <s v="Executed"/>
  </r>
  <r>
    <n v="73"/>
    <x v="0"/>
    <s v="U1300 R6.4 - NIC3"/>
    <s v="012 - Load Contactor"/>
    <s v="Meter load contactor - remote override (open)"/>
    <s v="1-Critical"/>
    <s v=" "/>
    <x v="8"/>
    <d v="1899-12-30T14:50:34"/>
    <s v="Failed"/>
    <x v="2"/>
    <x v="1"/>
    <s v="knjuguna(Kamau Njuguna)"/>
    <s v="Executed"/>
  </r>
  <r>
    <n v="75"/>
    <x v="0"/>
    <s v="U1300 R6.4 - NIC3"/>
    <s v="012 - Load Contactor"/>
    <s v="Meter load contactor - switching schedule 5-on-5-off"/>
    <s v="1-Critical"/>
    <s v=" "/>
    <x v="17"/>
    <d v="1899-12-30T09:04:19"/>
    <s v="Passed"/>
    <x v="1"/>
    <x v="1"/>
    <s v="knjuguna(Kamau Njuguna)"/>
    <s v="Executed"/>
  </r>
  <r>
    <n v="122"/>
    <x v="0"/>
    <s v="U1300 R6.4 - NIC3"/>
    <s v="012 - Load Contactor"/>
    <s v="Boost Primacy - Boost time longer than LC override"/>
    <s v="2-High"/>
    <s v=" "/>
    <x v="7"/>
    <d v="1899-12-30T14:38:00"/>
    <s v="Passed"/>
    <x v="1"/>
    <x v="1"/>
    <s v="knjuguna(Kamau Njuguna)"/>
    <s v="Executed"/>
  </r>
  <r>
    <n v="123"/>
    <x v="0"/>
    <s v="U1300 R6.4 - NIC3"/>
    <s v="012 - Load Contactor"/>
    <s v="Boost Primacy - Disabled"/>
    <s v="2-High"/>
    <s v=" "/>
    <x v="7"/>
    <d v="1899-12-30T16:03:47"/>
    <s v="Passed"/>
    <x v="1"/>
    <x v="1"/>
    <s v="knjuguna(Kamau Njuguna)"/>
    <s v="Executed"/>
  </r>
  <r>
    <n v="1725"/>
    <x v="0"/>
    <s v="U1300 R6.4 - NIC3"/>
    <s v="012 - Load Contactor"/>
    <s v="Boost Primacy - Enable-Disable"/>
    <s v="2-High"/>
    <s v=" "/>
    <x v="7"/>
    <d v="1899-12-30T16:43:52"/>
    <s v="Failed"/>
    <x v="2"/>
    <x v="1"/>
    <s v="knjuguna(Kamau Njuguna)"/>
    <s v="Executed"/>
  </r>
  <r>
    <n v="90"/>
    <x v="0"/>
    <s v="U1300 R6.4 - NIC3"/>
    <s v="012 - Load Contactor"/>
    <s v="Boost operation - Disabled"/>
    <s v="2-High"/>
    <s v=" "/>
    <x v="11"/>
    <d v="1899-12-30T16:22:49"/>
    <s v="Passed"/>
    <x v="1"/>
    <x v="1"/>
    <s v="knjuguna(Kamau Njuguna)"/>
    <s v="Executed"/>
  </r>
  <r>
    <n v="76"/>
    <x v="0"/>
    <s v="U1300 R6.4 - NIC3"/>
    <s v="012 - Load Contactor"/>
    <s v="Boost operation - Enabled - Boost (Boost Duration) minutes"/>
    <s v="1-Critical"/>
    <s v=" "/>
    <x v="6"/>
    <d v="1899-12-30T11:23:39"/>
    <s v="Passed"/>
    <x v="1"/>
    <x v="1"/>
    <s v="knjuguna(Kamau Njuguna)"/>
    <s v="Executed"/>
  </r>
  <r>
    <n v="74"/>
    <x v="0"/>
    <s v="U3400 R6.4 - NIC5"/>
    <s v="012 - Load Contactor"/>
    <s v="Meter load contactor - remote override (close)"/>
    <s v="1-Critical"/>
    <s v=" "/>
    <x v="8"/>
    <d v="1899-12-30T09:55:12"/>
    <s v="Passed"/>
    <x v="1"/>
    <x v="0"/>
    <s v="mkalra(Manoj Kalra)"/>
    <s v="Executed"/>
  </r>
  <r>
    <n v="73"/>
    <x v="0"/>
    <s v="U3400 R6.4 - NIC5"/>
    <s v="012 - Load Contactor"/>
    <s v="Meter load contactor - remote override (open)"/>
    <s v="1-Critical"/>
    <s v=" "/>
    <x v="8"/>
    <d v="1899-12-30T10:59:45"/>
    <s v="Failed"/>
    <x v="2"/>
    <x v="0"/>
    <s v="mkalra(Manoj Kalra)"/>
    <s v="Executed"/>
  </r>
  <r>
    <n v="75"/>
    <x v="0"/>
    <s v="U3400 R6.4 - NIC5"/>
    <s v="012 - Load Contactor"/>
    <s v="Meter load contactor - switching schedule 5-on-5-off"/>
    <s v="1-Critical"/>
    <s v=" "/>
    <x v="11"/>
    <d v="1899-12-30T10:22:40"/>
    <s v="Passed"/>
    <x v="1"/>
    <x v="0"/>
    <s v="mkalra(Manoj Kalra)"/>
    <s v="Executed"/>
  </r>
  <r>
    <n v="122"/>
    <x v="0"/>
    <s v="U3400 R6.4 - NIC5"/>
    <s v="012 - Load Contactor"/>
    <s v="Boost Primacy - Boost time longer than LC override"/>
    <s v="2-High"/>
    <s v=" "/>
    <x v="3"/>
    <d v="1899-12-30T16:19:02"/>
    <s v="Passed"/>
    <x v="1"/>
    <x v="0"/>
    <s v="mkalra(Manoj Kalra)"/>
    <s v="Executed"/>
  </r>
  <r>
    <n v="123"/>
    <x v="0"/>
    <s v="U3400 R6.4 - NIC5"/>
    <s v="012 - Load Contactor"/>
    <s v="Boost Primacy - Disabled"/>
    <s v="2-High"/>
    <s v=" "/>
    <x v="8"/>
    <d v="1899-12-30T13:20:20"/>
    <s v="Passed"/>
    <x v="1"/>
    <x v="0"/>
    <s v="mkalra(Manoj Kalra)"/>
    <s v="Executed"/>
  </r>
  <r>
    <n v="1725"/>
    <x v="0"/>
    <s v="U3400 R6.4 - NIC5"/>
    <s v="012 - Load Contactor"/>
    <s v="Boost Primacy - Enable-Disable"/>
    <s v="2-High"/>
    <s v=" "/>
    <x v="8"/>
    <d v="1899-12-30T15:01:06"/>
    <s v="Failed"/>
    <x v="2"/>
    <x v="0"/>
    <s v="mkalra(Manoj Kalra)"/>
    <s v="Executed"/>
  </r>
  <r>
    <n v="90"/>
    <x v="0"/>
    <s v="U3400 R6.4 - NIC5"/>
    <s v="012 - Load Contactor"/>
    <s v="Boost operation - Disabled"/>
    <s v="2-High"/>
    <s v=" "/>
    <x v="0"/>
    <d v="1899-12-30T09:38:18"/>
    <s v="Passed"/>
    <x v="1"/>
    <x v="0"/>
    <s v="mkalra(Manoj Kalra)"/>
    <s v="Executed"/>
  </r>
  <r>
    <n v="76"/>
    <x v="0"/>
    <s v="U3400 R6.4 - NIC5"/>
    <s v="012 - Load Contactor"/>
    <s v="Boost operation - Enabled - Boost (Boost Duration) minutes"/>
    <s v="1-Critical"/>
    <s v=" "/>
    <x v="0"/>
    <d v="1899-12-30T12:36:36"/>
    <s v="Passed"/>
    <x v="1"/>
    <x v="0"/>
    <s v="mkalra(Manoj Kalra)"/>
    <s v="Executed"/>
  </r>
  <r>
    <n v="74"/>
    <x v="0"/>
    <s v="U1300 R6.4 - NIC5"/>
    <s v="012 - Load Contactor"/>
    <s v="Meter load contactor - remote override (close)"/>
    <s v="1-Critical"/>
    <s v=" "/>
    <x v="8"/>
    <d v="1899-12-30T14:12:26"/>
    <s v="Passed"/>
    <x v="1"/>
    <x v="1"/>
    <s v="knjuguna(Kamau Njuguna)"/>
    <s v="Executed"/>
  </r>
  <r>
    <n v="73"/>
    <x v="0"/>
    <s v="U1300 R6.4 - NIC5"/>
    <s v="012 - Load Contactor"/>
    <s v="Meter load contactor - remote override (open)"/>
    <s v="1-Critical"/>
    <s v=" "/>
    <x v="8"/>
    <d v="1899-12-30T14:56:33"/>
    <s v="Failed"/>
    <x v="2"/>
    <x v="1"/>
    <s v="knjuguna(Kamau Njuguna)"/>
    <s v="Executed"/>
  </r>
  <r>
    <n v="75"/>
    <x v="0"/>
    <s v="U1300 R6.4 - NIC5"/>
    <s v="012 - Load Contactor"/>
    <s v="Meter load contactor - switching schedule 5-on-5-off"/>
    <s v="1-Critical"/>
    <s v=" "/>
    <x v="17"/>
    <d v="1899-12-30T09:23:34"/>
    <s v="Passed"/>
    <x v="1"/>
    <x v="1"/>
    <s v="knjuguna(Kamau Njuguna)"/>
    <s v="Executed"/>
  </r>
  <r>
    <n v="122"/>
    <x v="0"/>
    <s v="U1300 R6.4 - NIC5"/>
    <s v="012 - Load Contactor"/>
    <s v="Boost Primacy - Boost time longer than LC override"/>
    <s v="2-High"/>
    <s v=" "/>
    <x v="7"/>
    <d v="1899-12-30T14:39:37"/>
    <s v="Passed"/>
    <x v="1"/>
    <x v="1"/>
    <s v="knjuguna(Kamau Njuguna)"/>
    <s v="Executed"/>
  </r>
  <r>
    <n v="123"/>
    <x v="0"/>
    <s v="U1300 R6.4 - NIC5"/>
    <s v="012 - Load Contactor"/>
    <s v="Boost Primacy - Disabled"/>
    <s v="2-High"/>
    <s v=" "/>
    <x v="7"/>
    <d v="1899-12-30T16:12:06"/>
    <s v="Passed"/>
    <x v="1"/>
    <x v="1"/>
    <s v="knjuguna(Kamau Njuguna)"/>
    <s v="Executed"/>
  </r>
  <r>
    <n v="1725"/>
    <x v="0"/>
    <s v="U1300 R6.4 - NIC5"/>
    <s v="012 - Load Contactor"/>
    <s v="Boost Primacy - Enable-Disable"/>
    <s v="2-High"/>
    <s v=" "/>
    <x v="7"/>
    <d v="1899-12-30T16:56:58"/>
    <s v="Failed"/>
    <x v="2"/>
    <x v="1"/>
    <s v="knjuguna(Kamau Njuguna)"/>
    <s v="Executed"/>
  </r>
  <r>
    <n v="90"/>
    <x v="0"/>
    <s v="U1300 R6.4 - NIC5"/>
    <s v="012 - Load Contactor"/>
    <s v="Boost operation - Disabled"/>
    <s v="2-High"/>
    <s v=" "/>
    <x v="11"/>
    <d v="1899-12-30T16:23:48"/>
    <s v="Passed"/>
    <x v="1"/>
    <x v="1"/>
    <s v="knjuguna(Kamau Njuguna)"/>
    <s v="Executed"/>
  </r>
  <r>
    <n v="76"/>
    <x v="0"/>
    <s v="U1300 R6.4 - NIC5"/>
    <s v="012 - Load Contactor"/>
    <s v="Boost operation - Enabled - Boost (Boost Duration) minutes"/>
    <s v="1-Critical"/>
    <s v=" "/>
    <x v="6"/>
    <d v="1899-12-30T11:28:33"/>
    <s v="Passed"/>
    <x v="1"/>
    <x v="1"/>
    <s v="knjuguna(Kamau Njuguna)"/>
    <s v="Executed"/>
  </r>
  <r>
    <n v="79"/>
    <x v="0"/>
    <s v="U3400 R6.4 - NIC3"/>
    <s v="014 - QoS"/>
    <s v="Loss of phase supply on 3-phase meters"/>
    <s v="1-Critical"/>
    <s v=" "/>
    <x v="13"/>
    <d v="1899-12-30T12:43:30"/>
    <s v="Passed"/>
    <x v="1"/>
    <x v="0"/>
    <s v="mkalra(Manoj Kalra)"/>
    <s v="Executed"/>
  </r>
  <r>
    <n v="78"/>
    <x v="0"/>
    <s v="U3400 R6.4 - NIC3"/>
    <s v="014 - QoS"/>
    <s v="Loss of supply - threshold"/>
    <s v="1-Critical"/>
    <s v=" "/>
    <x v="13"/>
    <d v="1899-12-30T16:48:55"/>
    <s v="Passed"/>
    <x v="1"/>
    <x v="0"/>
    <s v="mkalra(Manoj Kalra)"/>
    <s v="Executed"/>
  </r>
  <r>
    <n v="120"/>
    <x v="0"/>
    <s v="U3400 R6.4 - NIC3"/>
    <s v="014 - QoS"/>
    <s v="Over temperature event - L&amp;G meters"/>
    <s v="2-High"/>
    <s v=" "/>
    <x v="10"/>
    <d v="1899-12-30T10:51:57"/>
    <s v="Not Completed"/>
    <x v="0"/>
    <x v="0"/>
    <s v="mkalra(Manoj Kalra)"/>
    <s v="RBT"/>
  </r>
  <r>
    <n v="146"/>
    <x v="0"/>
    <s v="U3400 R6.4 - NIC3"/>
    <s v="014 - QoS"/>
    <s v="QoS - Low PF detection"/>
    <s v="1-Critical"/>
    <s v=" "/>
    <x v="5"/>
    <d v="1899-12-30T15:05:16"/>
    <s v="N/A"/>
    <x v="5"/>
    <x v="0"/>
    <s v="mkalra(Manoj Kalra)"/>
    <s v="No Run"/>
  </r>
  <r>
    <n v="80"/>
    <x v="0"/>
    <s v="U3400 R6.4 - NIC3"/>
    <s v="014 - QoS"/>
    <s v="QoS - Overvoltage and Undervoltage"/>
    <s v="1-Critical"/>
    <s v=" "/>
    <x v="13"/>
    <d v="1899-12-30T10:55:45"/>
    <s v="Passed"/>
    <x v="1"/>
    <x v="0"/>
    <s v="mkalra(Manoj Kalra)"/>
    <s v="Executed"/>
  </r>
  <r>
    <n v="145"/>
    <x v="0"/>
    <s v="U3400 R6.4 - NIC3"/>
    <s v="014 - QoS"/>
    <s v="QoS - Voltage failure detection"/>
    <s v="1-Critical"/>
    <s v=" "/>
    <x v="13"/>
    <d v="1899-12-30T11:04:38"/>
    <s v="N/A"/>
    <x v="5"/>
    <x v="0"/>
    <s v="mkalra(Manoj Kalra)"/>
    <s v="No Run"/>
  </r>
  <r>
    <n v="78"/>
    <x v="0"/>
    <s v="U1300 R6.4 - NIC3"/>
    <s v="014 - QoS"/>
    <s v="Loss of supply - threshold"/>
    <s v="1-Critical"/>
    <s v=" "/>
    <x v="6"/>
    <d v="1899-12-30T14:35:21"/>
    <s v="Passed"/>
    <x v="1"/>
    <x v="1"/>
    <s v="knjuguna(Kamau Njuguna)"/>
    <s v="Executed"/>
  </r>
  <r>
    <n v="120"/>
    <x v="0"/>
    <s v="U1300 R6.4 - NIC3"/>
    <s v="014 - QoS"/>
    <s v="Over temperature event - L&amp;G meters"/>
    <s v="2-High"/>
    <s v=" "/>
    <x v="10"/>
    <d v="1899-12-30T11:55:51"/>
    <s v="Not Completed"/>
    <x v="3"/>
    <x v="1"/>
    <s v="knjuguna(Kamau Njuguna)"/>
    <s v="Executed"/>
  </r>
  <r>
    <n v="146"/>
    <x v="0"/>
    <s v="U1300 R6.4 - NIC3"/>
    <s v="014 - QoS"/>
    <s v="QoS - Low PF detection"/>
    <s v="1-Critical"/>
    <s v="Not applicable to L&amp;G meters"/>
    <x v="13"/>
    <d v="1899-12-30T09:02:38"/>
    <s v="N/A"/>
    <x v="5"/>
    <x v="1"/>
    <s v="knjuguna(Kamau Njuguna)"/>
    <s v="No Run"/>
  </r>
  <r>
    <n v="80"/>
    <x v="0"/>
    <s v="U1300 R6.4 - NIC3"/>
    <s v="014 - QoS"/>
    <s v="QoS - Overvoltage and Undervoltage"/>
    <s v="1-Critical"/>
    <s v=" "/>
    <x v="11"/>
    <d v="1899-12-30T15:59:29"/>
    <s v="Passed"/>
    <x v="1"/>
    <x v="1"/>
    <s v="knjuguna(Kamau Njuguna)"/>
    <s v="Executed"/>
  </r>
  <r>
    <n v="145"/>
    <x v="0"/>
    <s v="U1300 R6.4 - NIC3"/>
    <s v="014 - QoS"/>
    <s v="QoS - Voltage failure detection"/>
    <s v="1-Critical"/>
    <s v="Not applicable to L&amp;G meters"/>
    <x v="13"/>
    <d v="1899-12-30T09:09:10"/>
    <s v="N/A"/>
    <x v="5"/>
    <x v="1"/>
    <s v="knjuguna(Kamau Njuguna)"/>
    <s v="No Run"/>
  </r>
  <r>
    <n v="79"/>
    <x v="0"/>
    <s v="U3400 R6.4 - NIC5"/>
    <s v="014 - QoS"/>
    <s v="Loss of phase supply on 3-phase meters"/>
    <s v="1-Critical"/>
    <s v=" "/>
    <x v="13"/>
    <d v="1899-12-30T12:43:27"/>
    <s v="Passed"/>
    <x v="1"/>
    <x v="0"/>
    <s v="mkalra(Manoj Kalra)"/>
    <s v="Executed"/>
  </r>
  <r>
    <n v="78"/>
    <x v="0"/>
    <s v="U3400 R6.4 - NIC5"/>
    <s v="014 - QoS"/>
    <s v="Loss of supply - threshold"/>
    <s v="1-Critical"/>
    <s v=" "/>
    <x v="13"/>
    <d v="1899-12-30T16:48:56"/>
    <s v="Passed"/>
    <x v="1"/>
    <x v="0"/>
    <s v="mkalra(Manoj Kalra)"/>
    <s v="Executed"/>
  </r>
  <r>
    <n v="120"/>
    <x v="0"/>
    <s v="U3400 R6.4 - NIC5"/>
    <s v="014 - QoS"/>
    <s v="Over temperature event - L&amp;G meters"/>
    <s v="2-High"/>
    <s v="This Test is performed on U1300 Meters"/>
    <x v="10"/>
    <d v="1899-12-30T10:49:45"/>
    <s v="Not Completed"/>
    <x v="0"/>
    <x v="0"/>
    <s v="mkalra(Manoj Kalra)"/>
    <s v="RBT"/>
  </r>
  <r>
    <n v="146"/>
    <x v="0"/>
    <s v="U3400 R6.4 - NIC5"/>
    <s v="014 - QoS"/>
    <s v="QoS - Low PF detection"/>
    <s v="1-Critical"/>
    <s v=" "/>
    <x v="5"/>
    <d v="1899-12-30T15:05:27"/>
    <s v="N/A"/>
    <x v="5"/>
    <x v="0"/>
    <s v="mkalra(Manoj Kalra)"/>
    <s v="No Run"/>
  </r>
  <r>
    <n v="80"/>
    <x v="0"/>
    <s v="U3400 R6.4 - NIC5"/>
    <s v="014 - QoS"/>
    <s v="QoS - Overvoltage and Undervoltage"/>
    <s v="1-Critical"/>
    <s v=" "/>
    <x v="13"/>
    <d v="1899-12-30T10:55:49"/>
    <s v="Passed"/>
    <x v="1"/>
    <x v="0"/>
    <s v="mkalra(Manoj Kalra)"/>
    <s v="Executed"/>
  </r>
  <r>
    <n v="145"/>
    <x v="0"/>
    <s v="U3400 R6.4 - NIC5"/>
    <s v="014 - QoS"/>
    <s v="QoS - Voltage failure detection"/>
    <s v="1-Critical"/>
    <s v=" "/>
    <x v="13"/>
    <d v="1899-12-30T11:04:53"/>
    <s v="N/A"/>
    <x v="5"/>
    <x v="0"/>
    <s v="mkalra(Manoj Kalra)"/>
    <s v="No Run"/>
  </r>
  <r>
    <n v="78"/>
    <x v="0"/>
    <s v="U1300 R6.4 - NIC5"/>
    <s v="014 - QoS"/>
    <s v="Loss of supply - threshold"/>
    <s v="1-Critical"/>
    <s v=" "/>
    <x v="6"/>
    <d v="1899-12-30T14:41:53"/>
    <s v="Passed"/>
    <x v="1"/>
    <x v="1"/>
    <s v="knjuguna(Kamau Njuguna)"/>
    <s v="Executed"/>
  </r>
  <r>
    <n v="120"/>
    <x v="0"/>
    <s v="U1300 R6.4 - NIC5"/>
    <s v="014 - QoS"/>
    <s v="Over temperature event - L&amp;G meters"/>
    <s v="2-High"/>
    <s v="NIC320 meter has been tested"/>
    <x v="10"/>
    <d v="1899-12-30T11:52:39"/>
    <s v="Not Completed"/>
    <x v="0"/>
    <x v="1"/>
    <s v="knjuguna(Kamau Njuguna)"/>
    <s v="RBT"/>
  </r>
  <r>
    <n v="146"/>
    <x v="0"/>
    <s v="U1300 R6.4 - NIC5"/>
    <s v="014 - QoS"/>
    <s v="QoS - Low PF detection"/>
    <s v="1-Critical"/>
    <s v="Not applicable to L&amp;G meters"/>
    <x v="13"/>
    <d v="1899-12-30T09:03:37"/>
    <s v="N/A"/>
    <x v="5"/>
    <x v="1"/>
    <s v="knjuguna(Kamau Njuguna)"/>
    <s v="No Run"/>
  </r>
  <r>
    <n v="80"/>
    <x v="0"/>
    <s v="U1300 R6.4 - NIC5"/>
    <s v="014 - QoS"/>
    <s v="QoS - Overvoltage and Undervoltage"/>
    <s v="1-Critical"/>
    <s v=" "/>
    <x v="11"/>
    <d v="1899-12-30T16:01:11"/>
    <s v="Passed"/>
    <x v="1"/>
    <x v="1"/>
    <s v="knjuguna(Kamau Njuguna)"/>
    <s v="Executed"/>
  </r>
  <r>
    <n v="145"/>
    <x v="0"/>
    <s v="U1300 R6.4 - NIC5"/>
    <s v="014 - QoS"/>
    <s v="QoS - Voltage failure detection"/>
    <s v="1-Critical"/>
    <s v="Not applicable to L&amp;G meters"/>
    <x v="13"/>
    <d v="1899-12-30T09:11:40"/>
    <s v="N/A"/>
    <x v="5"/>
    <x v="1"/>
    <s v="knjuguna(Kamau Njuguna)"/>
    <s v="No Run"/>
  </r>
  <r>
    <n v="77"/>
    <x v="0"/>
    <s v="U1300 R6.4 - NIC3"/>
    <s v="014 - QoS"/>
    <s v="Loss of supply - Verify last gasp for multiple meter outage"/>
    <s v="1-Critical"/>
    <s v=" "/>
    <x v="13"/>
    <d v="1899-12-30T16:35:04"/>
    <s v="Passed"/>
    <x v="1"/>
    <x v="1"/>
    <s v="knjuguna(Kamau Njuguna)"/>
    <s v="Executed"/>
  </r>
  <r>
    <n v="77"/>
    <x v="0"/>
    <s v="U1300 R6.4 - NIC5"/>
    <s v="014 - QoS"/>
    <s v="Loss of supply - Verify last gasp for multiple meter outage"/>
    <s v="1-Critical"/>
    <s v=" "/>
    <x v="13"/>
    <d v="1899-12-30T16:25:19"/>
    <s v="Passed"/>
    <x v="1"/>
    <x v="1"/>
    <s v="knjuguna(Kamau Njuguna)"/>
    <s v="Executed"/>
  </r>
  <r>
    <n v="77"/>
    <x v="0"/>
    <s v="U3400 R6.4 - NIC3"/>
    <s v="014 - QoS"/>
    <s v="Loss of supply - Verify last gasp for multiple meter outage"/>
    <s v="1-Critical"/>
    <s v=" "/>
    <x v="14"/>
    <d v="1899-12-30T10:14:59"/>
    <s v="Passed"/>
    <x v="1"/>
    <x v="0"/>
    <s v="mkalra(Manoj Kalra)"/>
    <s v="Executed"/>
  </r>
  <r>
    <n v="77"/>
    <x v="0"/>
    <s v="U3400 R6.4 - NIC5"/>
    <s v="014 - QoS"/>
    <s v="Loss of supply - Verify last gasp for multiple meter outage"/>
    <s v="1-Critical"/>
    <s v=" "/>
    <x v="13"/>
    <d v="1899-12-30T17:27:54"/>
    <s v="Passed"/>
    <x v="1"/>
    <x v="0"/>
    <s v="mkalra(Manoj Kalra)"/>
    <s v="Executed"/>
  </r>
  <r>
    <n v="148"/>
    <x v="0"/>
    <s v="U3400 R6.4 - NIC3"/>
    <s v="015 - SIQ"/>
    <s v="SIQ Profile Sanity Check"/>
    <s v="1-Critical"/>
    <s v=" "/>
    <x v="14"/>
    <d v="1899-12-30T17:18:39"/>
    <s v="Passed"/>
    <x v="1"/>
    <x v="0"/>
    <s v="mkalra(Manoj Kalra)"/>
    <s v="Executed"/>
  </r>
  <r>
    <n v="148"/>
    <x v="0"/>
    <s v="U1300 R6.4 - NIC3"/>
    <s v="015 - SIQ"/>
    <s v="SIQ Profile Sanity Check"/>
    <s v="1-Critical"/>
    <s v=" "/>
    <x v="13"/>
    <d v="1899-12-30T12:52:56"/>
    <s v="Passed"/>
    <x v="1"/>
    <x v="1"/>
    <s v="knjuguna(Kamau Njuguna)"/>
    <s v="Executed"/>
  </r>
  <r>
    <n v="148"/>
    <x v="0"/>
    <s v="U3400 R6.4 - NIC5"/>
    <s v="015 - SIQ"/>
    <s v="SIQ Profile Sanity Check"/>
    <s v="1-Critical"/>
    <s v=" "/>
    <x v="14"/>
    <d v="1899-12-30T17:18:33"/>
    <s v="Passed"/>
    <x v="1"/>
    <x v="0"/>
    <s v="mkalra(Manoj Kalra)"/>
    <s v="Executed"/>
  </r>
  <r>
    <n v="148"/>
    <x v="0"/>
    <s v="U1300 R6.4 - NIC5"/>
    <s v="015 - SIQ"/>
    <s v="SIQ Profile Sanity Check"/>
    <s v="1-Critical"/>
    <s v=" "/>
    <x v="13"/>
    <d v="1899-12-30T13:15:16"/>
    <s v="Passed"/>
    <x v="1"/>
    <x v="1"/>
    <s v="knjuguna(Kamau Njuguna)"/>
    <s v="Executed"/>
  </r>
  <r>
    <n v="106"/>
    <x v="0"/>
    <s v="U3400 R6.4 - NIC5"/>
    <s v="016 - HAN"/>
    <s v="HCM -  Display meter consumption on IHD"/>
    <s v="1-Critical"/>
    <s v=" "/>
    <x v="4"/>
    <d v="1899-12-30T15:42:44"/>
    <s v="RBT"/>
    <x v="1"/>
    <x v="0"/>
    <s v="mkalra(Manoj Kalra)"/>
    <s v="Executed"/>
  </r>
  <r>
    <n v="106"/>
    <x v="0"/>
    <s v="U3400 R6.4 - NIC3"/>
    <s v="016 - HAN"/>
    <s v="HCM -  Display meter consumption on IHD"/>
    <s v="1-Critical"/>
    <s v=" "/>
    <x v="4"/>
    <d v="1899-12-30T15:06:19"/>
    <s v="RBT"/>
    <x v="6"/>
    <x v="0"/>
    <s v="mkalra(Manoj Kalra)"/>
    <s v="No Run"/>
  </r>
  <r>
    <n v="106"/>
    <x v="0"/>
    <s v="U1300 R6.4 - NIC5"/>
    <s v="016 - HAN"/>
    <s v="HCM -  Display meter consumption on IHD"/>
    <s v="1-Critical"/>
    <s v="No appropriate meter with HAN certificate but passed on NIC320 meter"/>
    <x v="10"/>
    <d v="1899-12-30T14:32:54"/>
    <s v="RBT"/>
    <x v="0"/>
    <x v="1"/>
    <s v="knjuguna(Kamau Njuguna)"/>
    <s v="RBT"/>
  </r>
  <r>
    <n v="106"/>
    <x v="0"/>
    <s v="U1300 R6.4 - NIC3"/>
    <s v="016 - HAN"/>
    <s v="HCM -  Display meter consumption on IHD"/>
    <s v="1-Critical"/>
    <s v=" "/>
    <x v="4"/>
    <d v="1899-12-30T15:16:09"/>
    <s v="RBT"/>
    <x v="1"/>
    <x v="1"/>
    <s v="knjuguna(Kamau Njuguna)"/>
    <s v="Executed"/>
  </r>
  <r>
    <n v="104"/>
    <x v="0"/>
    <s v="U1300 R6.4 - NIC3"/>
    <s v="016 - HAN"/>
    <s v="HCM -  Support for 2E meters metering cluster"/>
    <s v="3-Medium"/>
    <s v=" "/>
    <x v="0"/>
    <d v="1899-12-30T17:13:41"/>
    <s v="RBT"/>
    <x v="0"/>
    <x v="0"/>
    <s v="knjuguna(Kamau Njuguna)"/>
    <s v="RBT"/>
  </r>
  <r>
    <n v="104"/>
    <x v="0"/>
    <s v="U1300 R6.4 - NIC5"/>
    <s v="016 - HAN"/>
    <s v="HCM -  Support for 2E meters metering cluster"/>
    <s v="3-Medium"/>
    <s v=" "/>
    <x v="0"/>
    <d v="1899-12-30T17:15:24"/>
    <s v="RBT"/>
    <x v="0"/>
    <x v="0"/>
    <s v="knjuguna(Kamau Njuguna)"/>
    <s v="RBT"/>
  </r>
  <r>
    <n v="104"/>
    <x v="0"/>
    <s v="U3400 R6.4 - NIC3"/>
    <s v="016 - HAN"/>
    <s v="HCM -  Support for 2E meters metering cluster"/>
    <s v="3-Medium"/>
    <s v=" "/>
    <x v="0"/>
    <d v="1899-12-30T17:15:54"/>
    <s v="RBT"/>
    <x v="0"/>
    <x v="0"/>
    <s v="mkalra(Manoj Kalra)"/>
    <s v="RBT"/>
  </r>
  <r>
    <n v="104"/>
    <x v="0"/>
    <s v="U3400 R6.4 - NIC5"/>
    <s v="016 - HAN"/>
    <s v="HCM -  Support for 2E meters metering cluster"/>
    <s v="3-Medium"/>
    <s v=" "/>
    <x v="0"/>
    <d v="1899-12-30T17:17:17"/>
    <s v="RBT"/>
    <x v="0"/>
    <x v="0"/>
    <s v="mkalra(Manoj Kalra)"/>
    <s v="RBT"/>
  </r>
  <r>
    <n v="93"/>
    <x v="0"/>
    <s v="U1300 R6.4 - NIC3"/>
    <s v="016 - HAN"/>
    <s v="HCM - Import IHD"/>
    <s v="2-High"/>
    <s v=" "/>
    <x v="0"/>
    <d v="1899-12-30T17:14:11"/>
    <s v="RBT"/>
    <x v="0"/>
    <x v="0"/>
    <s v="knjuguna(Kamau Njuguna)"/>
    <s v="RBT"/>
  </r>
  <r>
    <n v="94"/>
    <x v="0"/>
    <s v="U1300 R6.4 - NIC3"/>
    <s v="016 - HAN"/>
    <s v="HCM - Import ESI"/>
    <s v="2-High"/>
    <s v=" "/>
    <x v="0"/>
    <d v="1899-12-30T17:14:08"/>
    <s v="RBT"/>
    <x v="0"/>
    <x v="0"/>
    <s v="knjuguna(Kamau Njuguna)"/>
    <s v="RBT"/>
  </r>
  <r>
    <n v="95"/>
    <x v="0"/>
    <s v="U1300 R6.4 - NIC3"/>
    <s v="016 - HAN"/>
    <s v="HCM - Sync ESI"/>
    <s v="2-High"/>
    <s v=" "/>
    <x v="0"/>
    <d v="1899-12-30T17:14:16"/>
    <s v="RBT"/>
    <x v="0"/>
    <x v="0"/>
    <s v="knjuguna(Kamau Njuguna)"/>
    <s v="RBT"/>
  </r>
  <r>
    <n v="96"/>
    <x v="0"/>
    <s v="U1300 R6.4 - NIC3"/>
    <s v="016 - HAN"/>
    <s v="HCM - Provision ESI"/>
    <s v="2-High"/>
    <s v=" "/>
    <x v="0"/>
    <d v="1899-12-30T17:14:14"/>
    <s v="RBT"/>
    <x v="0"/>
    <x v="0"/>
    <s v="knjuguna(Kamau Njuguna)"/>
    <s v="RBT"/>
  </r>
  <r>
    <n v="97"/>
    <x v="0"/>
    <s v="U1300 R6.4 - NIC3"/>
    <s v="016 - HAN"/>
    <s v="HCM -  Associate IHD to ESI"/>
    <s v="2-High"/>
    <s v=" "/>
    <x v="0"/>
    <d v="1899-12-30T17:13:48"/>
    <s v="RBT"/>
    <x v="0"/>
    <x v="0"/>
    <s v="knjuguna(Kamau Njuguna)"/>
    <s v="RBT"/>
  </r>
  <r>
    <n v="98"/>
    <x v="0"/>
    <s v="U1300 R6.4 - NIC3"/>
    <s v="016 - HAN"/>
    <s v="HCM -  Join IHD to ESI"/>
    <s v="2-High"/>
    <s v=" "/>
    <x v="0"/>
    <d v="1899-12-30T17:14:00"/>
    <s v="RBT"/>
    <x v="0"/>
    <x v="0"/>
    <s v="knjuguna(Kamau Njuguna)"/>
    <s v="RBT"/>
  </r>
  <r>
    <n v="99"/>
    <x v="0"/>
    <s v="U1300 R6.4 - NIC3"/>
    <s v="016 - HAN"/>
    <s v="HCM -  Ping IHD via ESI"/>
    <s v="2-High"/>
    <s v=" "/>
    <x v="0"/>
    <d v="1899-12-30T17:14:03"/>
    <s v="RBT"/>
    <x v="0"/>
    <x v="0"/>
    <s v="knjuguna(Kamau Njuguna)"/>
    <s v="RBT"/>
  </r>
  <r>
    <n v="101"/>
    <x v="0"/>
    <s v="U1300 R6.4 - NIC3"/>
    <s v="016 - HAN"/>
    <s v="HCM -  Unjoin IHD to ESI"/>
    <s v="2-High"/>
    <s v=" "/>
    <x v="0"/>
    <d v="1899-12-30T17:14:06"/>
    <s v="RBT"/>
    <x v="0"/>
    <x v="0"/>
    <s v="knjuguna(Kamau Njuguna)"/>
    <s v="RBT"/>
  </r>
  <r>
    <n v="102"/>
    <x v="0"/>
    <s v="U1300 R6.4 - NIC3"/>
    <s v="016 - HAN"/>
    <s v="HCM -  HAN secure key establishment"/>
    <s v="3-Medium"/>
    <s v=" "/>
    <x v="0"/>
    <d v="1899-12-30T17:13:54"/>
    <s v="RBT"/>
    <x v="0"/>
    <x v="0"/>
    <s v="knjuguna(Kamau Njuguna)"/>
    <s v="RBT"/>
  </r>
  <r>
    <n v="103"/>
    <x v="0"/>
    <s v="U1300 R6.4 - NIC3"/>
    <s v="016 - HAN"/>
    <s v="HCM -  Enroll ESI to HCM program"/>
    <s v="3-Medium"/>
    <s v=" "/>
    <x v="0"/>
    <d v="1899-12-30T17:13:51"/>
    <s v="RBT"/>
    <x v="0"/>
    <x v="0"/>
    <s v="knjuguna(Kamau Njuguna)"/>
    <s v="RBT"/>
  </r>
  <r>
    <n v="105"/>
    <x v="0"/>
    <s v="U1300 R6.4 - NIC3"/>
    <s v="016 - HAN"/>
    <s v="NC -  HAN radio diagnostic commands"/>
    <s v="2-High"/>
    <s v=" "/>
    <x v="0"/>
    <d v="1899-12-30T17:14:18"/>
    <s v="RBT"/>
    <x v="0"/>
    <x v="0"/>
    <s v="knjuguna(Kamau Njuguna)"/>
    <s v="RBT"/>
  </r>
  <r>
    <n v="93"/>
    <x v="0"/>
    <s v="U1300 R6.4 - NIC5"/>
    <s v="016 - HAN"/>
    <s v="HCM - Import IHD"/>
    <s v="2-High"/>
    <s v=" "/>
    <x v="0"/>
    <d v="1899-12-30T17:14:53"/>
    <s v="RBT"/>
    <x v="0"/>
    <x v="0"/>
    <s v="knjuguna(Kamau Njuguna)"/>
    <s v="RBT"/>
  </r>
  <r>
    <n v="94"/>
    <x v="0"/>
    <s v="U1300 R6.4 - NIC5"/>
    <s v="016 - HAN"/>
    <s v="HCM - Import ESI"/>
    <s v="2-High"/>
    <s v=" "/>
    <x v="0"/>
    <d v="1899-12-30T17:15:02"/>
    <s v="RBT"/>
    <x v="0"/>
    <x v="0"/>
    <s v="knjuguna(Kamau Njuguna)"/>
    <s v="RBT"/>
  </r>
  <r>
    <n v="95"/>
    <x v="0"/>
    <s v="U1300 R6.4 - NIC5"/>
    <s v="016 - HAN"/>
    <s v="HCM - Sync ESI"/>
    <s v="2-High"/>
    <s v=" "/>
    <x v="0"/>
    <d v="1899-12-30T17:15:14"/>
    <s v="RBT"/>
    <x v="0"/>
    <x v="0"/>
    <s v="knjuguna(Kamau Njuguna)"/>
    <s v="RBT"/>
  </r>
  <r>
    <n v="96"/>
    <x v="0"/>
    <s v="U1300 R6.4 - NIC5"/>
    <s v="016 - HAN"/>
    <s v="HCM - Provision ESI"/>
    <s v="2-High"/>
    <s v=" "/>
    <x v="0"/>
    <d v="1899-12-30T17:14:52"/>
    <s v="RBT"/>
    <x v="0"/>
    <x v="0"/>
    <s v="knjuguna(Kamau Njuguna)"/>
    <s v="RBT"/>
  </r>
  <r>
    <n v="97"/>
    <x v="0"/>
    <s v="U1300 R6.4 - NIC5"/>
    <s v="016 - HAN"/>
    <s v="HCM -  Associate IHD to ESI"/>
    <s v="2-High"/>
    <s v=" "/>
    <x v="0"/>
    <d v="1899-12-30T17:15:25"/>
    <s v="RBT"/>
    <x v="0"/>
    <x v="0"/>
    <s v="knjuguna(Kamau Njuguna)"/>
    <s v="RBT"/>
  </r>
  <r>
    <n v="98"/>
    <x v="0"/>
    <s v="U1300 R6.4 - NIC5"/>
    <s v="016 - HAN"/>
    <s v="HCM -  Join IHD to ESI"/>
    <s v="2-High"/>
    <s v=" "/>
    <x v="0"/>
    <d v="1899-12-30T17:15:01"/>
    <s v="RBT"/>
    <x v="0"/>
    <x v="0"/>
    <s v="knjuguna(Kamau Njuguna)"/>
    <s v="RBT"/>
  </r>
  <r>
    <n v="99"/>
    <x v="0"/>
    <s v="U1300 R6.4 - NIC5"/>
    <s v="016 - HAN"/>
    <s v="HCM -  Ping IHD via ESI"/>
    <s v="2-High"/>
    <s v=" "/>
    <x v="0"/>
    <d v="1899-12-30T17:14:55"/>
    <s v="RBT"/>
    <x v="0"/>
    <x v="0"/>
    <s v="knjuguna(Kamau Njuguna)"/>
    <s v="RBT"/>
  </r>
  <r>
    <n v="101"/>
    <x v="0"/>
    <s v="U1300 R6.4 - NIC5"/>
    <s v="016 - HAN"/>
    <s v="HCM -  Unjoin IHD to ESI"/>
    <s v="2-High"/>
    <s v=" "/>
    <x v="0"/>
    <d v="1899-12-30T17:14:54"/>
    <s v="RBT"/>
    <x v="0"/>
    <x v="0"/>
    <s v="knjuguna(Kamau Njuguna)"/>
    <s v="RBT"/>
  </r>
  <r>
    <n v="102"/>
    <x v="0"/>
    <s v="U1300 R6.4 - NIC5"/>
    <s v="016 - HAN"/>
    <s v="HCM -  HAN secure key establishment"/>
    <s v="3-Medium"/>
    <s v=" "/>
    <x v="0"/>
    <d v="1899-12-30T17:14:57"/>
    <s v="RBT"/>
    <x v="0"/>
    <x v="0"/>
    <s v="knjuguna(Kamau Njuguna)"/>
    <s v="RBT"/>
  </r>
  <r>
    <n v="103"/>
    <x v="0"/>
    <s v="U1300 R6.4 - NIC5"/>
    <s v="016 - HAN"/>
    <s v="HCM -  Enroll ESI to HCM program"/>
    <s v="3-Medium"/>
    <s v=" "/>
    <x v="0"/>
    <d v="1899-12-30T17:14:59"/>
    <s v="RBT"/>
    <x v="0"/>
    <x v="0"/>
    <s v="knjuguna(Kamau Njuguna)"/>
    <s v="RBT"/>
  </r>
  <r>
    <n v="105"/>
    <x v="0"/>
    <s v="U1300 R6.4 - NIC5"/>
    <s v="016 - HAN"/>
    <s v="NC -  HAN radio diagnostic commands"/>
    <s v="2-High"/>
    <s v=" "/>
    <x v="0"/>
    <d v="1899-12-30T17:14:50"/>
    <s v="RBT"/>
    <x v="0"/>
    <x v="0"/>
    <s v="knjuguna(Kamau Njuguna)"/>
    <s v="RBT"/>
  </r>
  <r>
    <n v="93"/>
    <x v="0"/>
    <s v="U3400 R6.4 - NIC3"/>
    <s v="016 - HAN"/>
    <s v="HCM - Import IHD"/>
    <s v="2-High"/>
    <s v=" "/>
    <x v="0"/>
    <d v="1899-12-30T17:16:04"/>
    <s v="RBT"/>
    <x v="0"/>
    <x v="0"/>
    <s v="mkalra(Manoj Kalra)"/>
    <s v="RBT"/>
  </r>
  <r>
    <n v="94"/>
    <x v="0"/>
    <s v="U3400 R6.4 - NIC3"/>
    <s v="016 - HAN"/>
    <s v="HCM - Import ESI"/>
    <s v="2-High"/>
    <s v=" "/>
    <x v="0"/>
    <d v="1899-12-30T17:16:03"/>
    <s v="RBT"/>
    <x v="0"/>
    <x v="0"/>
    <s v="mkalra(Manoj Kalra)"/>
    <s v="RBT"/>
  </r>
  <r>
    <n v="95"/>
    <x v="0"/>
    <s v="U3400 R6.4 - NIC3"/>
    <s v="016 - HAN"/>
    <s v="HCM - Sync ESI"/>
    <s v="2-High"/>
    <s v=" "/>
    <x v="0"/>
    <d v="1899-12-30T17:16:07"/>
    <s v="RBT"/>
    <x v="0"/>
    <x v="0"/>
    <s v="mkalra(Manoj Kalra)"/>
    <s v="RBT"/>
  </r>
  <r>
    <n v="96"/>
    <x v="0"/>
    <s v="U3400 R6.4 - NIC3"/>
    <s v="016 - HAN"/>
    <s v="HCM - Provision ESI"/>
    <s v="2-High"/>
    <s v=" "/>
    <x v="0"/>
    <d v="1899-12-30T17:16:06"/>
    <s v="RBT"/>
    <x v="0"/>
    <x v="0"/>
    <s v="mkalra(Manoj Kalra)"/>
    <s v="RBT"/>
  </r>
  <r>
    <n v="97"/>
    <x v="0"/>
    <s v="U3400 R6.4 - NIC3"/>
    <s v="016 - HAN"/>
    <s v="HCM -  Associate IHD to ESI"/>
    <s v="2-High"/>
    <s v=" "/>
    <x v="0"/>
    <d v="1899-12-30T17:15:55"/>
    <s v="RBT"/>
    <x v="0"/>
    <x v="0"/>
    <s v="mkalra(Manoj Kalra)"/>
    <s v="RBT"/>
  </r>
  <r>
    <n v="98"/>
    <x v="0"/>
    <s v="U3400 R6.4 - NIC3"/>
    <s v="016 - HAN"/>
    <s v="HCM -  Join IHD to ESI"/>
    <s v="2-High"/>
    <s v=" "/>
    <x v="0"/>
    <d v="1899-12-30T17:15:59"/>
    <s v="RBT"/>
    <x v="0"/>
    <x v="0"/>
    <s v="mkalra(Manoj Kalra)"/>
    <s v="RBT"/>
  </r>
  <r>
    <n v="99"/>
    <x v="0"/>
    <s v="U3400 R6.4 - NIC3"/>
    <s v="016 - HAN"/>
    <s v="HCM -  Ping IHD via ESI"/>
    <s v="2-High"/>
    <s v=" "/>
    <x v="0"/>
    <d v="1899-12-30T17:16:16"/>
    <s v="RBT"/>
    <x v="0"/>
    <x v="0"/>
    <s v="mkalra(Manoj Kalra)"/>
    <s v="RBT"/>
  </r>
  <r>
    <n v="101"/>
    <x v="0"/>
    <s v="U3400 R6.4 - NIC3"/>
    <s v="016 - HAN"/>
    <s v="HCM -  Unjoin IHD to ESI"/>
    <s v="2-High"/>
    <s v=" "/>
    <x v="0"/>
    <d v="1899-12-30T17:16:02"/>
    <s v="RBT"/>
    <x v="0"/>
    <x v="0"/>
    <s v="mkalra(Manoj Kalra)"/>
    <s v="RBT"/>
  </r>
  <r>
    <n v="102"/>
    <x v="0"/>
    <s v="U3400 R6.4 - NIC3"/>
    <s v="016 - HAN"/>
    <s v="HCM -  HAN secure key establishment"/>
    <s v="3-Medium"/>
    <s v=" "/>
    <x v="0"/>
    <d v="1899-12-30T17:15:58"/>
    <s v="RBT"/>
    <x v="0"/>
    <x v="0"/>
    <s v="mkalra(Manoj Kalra)"/>
    <s v="RBT"/>
  </r>
  <r>
    <n v="103"/>
    <x v="0"/>
    <s v="U3400 R6.4 - NIC3"/>
    <s v="016 - HAN"/>
    <s v="HCM -  Enroll ESI to HCM program"/>
    <s v="3-Medium"/>
    <s v=" "/>
    <x v="0"/>
    <d v="1899-12-30T17:15:57"/>
    <s v="RBT"/>
    <x v="0"/>
    <x v="0"/>
    <s v="mkalra(Manoj Kalra)"/>
    <s v="RBT"/>
  </r>
  <r>
    <n v="105"/>
    <x v="0"/>
    <s v="U3400 R6.4 - NIC3"/>
    <s v="016 - HAN"/>
    <s v="NC -  HAN radio diagnostic commands"/>
    <s v="2-High"/>
    <s v=" "/>
    <x v="0"/>
    <d v="1899-12-30T17:16:08"/>
    <s v="RBT"/>
    <x v="0"/>
    <x v="0"/>
    <s v="mkalra(Manoj Kalra)"/>
    <s v="RBT"/>
  </r>
  <r>
    <n v="93"/>
    <x v="0"/>
    <s v="U3400 R6.4 - NIC5"/>
    <s v="016 - HAN"/>
    <s v="HCM - Import IHD"/>
    <s v="2-High"/>
    <s v=" "/>
    <x v="0"/>
    <d v="1899-12-30T17:17:06"/>
    <s v="RBT"/>
    <x v="0"/>
    <x v="0"/>
    <s v="mkalra(Manoj Kalra)"/>
    <s v="RBT"/>
  </r>
  <r>
    <n v="94"/>
    <x v="0"/>
    <s v="U3400 R6.4 - NIC5"/>
    <s v="016 - HAN"/>
    <s v="HCM - Import ESI"/>
    <s v="2-High"/>
    <s v=" "/>
    <x v="0"/>
    <d v="1899-12-30T17:17:08"/>
    <s v="RBT"/>
    <x v="0"/>
    <x v="0"/>
    <s v="mkalra(Manoj Kalra)"/>
    <s v="RBT"/>
  </r>
  <r>
    <n v="95"/>
    <x v="0"/>
    <s v="U3400 R6.4 - NIC5"/>
    <s v="016 - HAN"/>
    <s v="HCM - Sync ESI"/>
    <s v="2-High"/>
    <s v=" "/>
    <x v="0"/>
    <d v="1899-12-30T17:17:04"/>
    <s v="RBT"/>
    <x v="0"/>
    <x v="0"/>
    <s v="mkalra(Manoj Kalra)"/>
    <s v="RBT"/>
  </r>
  <r>
    <n v="96"/>
    <x v="0"/>
    <s v="U3400 R6.4 - NIC5"/>
    <s v="016 - HAN"/>
    <s v="HCM - Provision ESI"/>
    <s v="2-High"/>
    <s v=" "/>
    <x v="0"/>
    <d v="1899-12-30T17:17:05"/>
    <s v="RBT"/>
    <x v="0"/>
    <x v="0"/>
    <s v="mkalra(Manoj Kalra)"/>
    <s v="RBT"/>
  </r>
  <r>
    <n v="97"/>
    <x v="0"/>
    <s v="U3400 R6.4 - NIC5"/>
    <s v="016 - HAN"/>
    <s v="HCM -  Associate IHD to ESI"/>
    <s v="2-High"/>
    <s v=" "/>
    <x v="0"/>
    <d v="1899-12-30T17:17:16"/>
    <s v="RBT"/>
    <x v="0"/>
    <x v="0"/>
    <s v="mkalra(Manoj Kalra)"/>
    <s v="RBT"/>
  </r>
  <r>
    <n v="98"/>
    <x v="0"/>
    <s v="U3400 R6.4 - NIC5"/>
    <s v="016 - HAN"/>
    <s v="HCM -  Join IHD to ESI"/>
    <s v="2-High"/>
    <s v=" "/>
    <x v="0"/>
    <d v="1899-12-30T17:17:12"/>
    <s v="RBT"/>
    <x v="0"/>
    <x v="0"/>
    <s v="mkalra(Manoj Kalra)"/>
    <s v="RBT"/>
  </r>
  <r>
    <n v="99"/>
    <x v="0"/>
    <s v="U3400 R6.4 - NIC5"/>
    <s v="016 - HAN"/>
    <s v="HCM -  Ping IHD via ESI"/>
    <s v="2-High"/>
    <s v=" "/>
    <x v="0"/>
    <d v="1899-12-30T17:17:10"/>
    <s v="RBT"/>
    <x v="0"/>
    <x v="0"/>
    <s v="mkalra(Manoj Kalra)"/>
    <s v="RBT"/>
  </r>
  <r>
    <n v="101"/>
    <x v="0"/>
    <s v="U3400 R6.4 - NIC5"/>
    <s v="016 - HAN"/>
    <s v="HCM -  Unjoin IHD to ESI"/>
    <s v="2-High"/>
    <s v=" "/>
    <x v="0"/>
    <d v="1899-12-30T17:17:09"/>
    <s v="RBT"/>
    <x v="0"/>
    <x v="0"/>
    <s v="mkalra(Manoj Kalra)"/>
    <s v="RBT"/>
  </r>
  <r>
    <n v="102"/>
    <x v="0"/>
    <s v="U3400 R6.4 - NIC5"/>
    <s v="016 - HAN"/>
    <s v="HCM -  HAN secure key establishment"/>
    <s v="3-Medium"/>
    <s v=" "/>
    <x v="0"/>
    <d v="1899-12-30T17:17:13"/>
    <s v="RBT"/>
    <x v="0"/>
    <x v="0"/>
    <s v="mkalra(Manoj Kalra)"/>
    <s v="RBT"/>
  </r>
  <r>
    <n v="103"/>
    <x v="0"/>
    <s v="U3400 R6.4 - NIC5"/>
    <s v="016 - HAN"/>
    <s v="HCM -  Enroll ESI to HCM program"/>
    <s v="3-Medium"/>
    <s v=" "/>
    <x v="0"/>
    <d v="1899-12-30T17:17:14"/>
    <s v="RBT"/>
    <x v="0"/>
    <x v="0"/>
    <s v="mkalra(Manoj Kalra)"/>
    <s v="RBT"/>
  </r>
  <r>
    <n v="105"/>
    <x v="0"/>
    <s v="U3400 R6.4 - NIC5"/>
    <s v="016 - HAN"/>
    <s v="NC -  HAN radio diagnostic commands"/>
    <s v="2-High"/>
    <s v=" "/>
    <x v="0"/>
    <d v="1899-12-30T17:17:02"/>
    <s v="RBT"/>
    <x v="0"/>
    <x v="0"/>
    <s v="mkalra(Manoj Kalra)"/>
    <s v="RBT"/>
  </r>
  <r>
    <n v="83"/>
    <x v="0"/>
    <s v="U3400 R6.4 - NIC3"/>
    <s v="017 - Supply Capacity Control"/>
    <s v="ESCC Normal Operation - Active Meters"/>
    <s v="1-Critical"/>
    <s v=" "/>
    <x v="7"/>
    <d v="1899-12-30T10:51:25"/>
    <s v="Passed"/>
    <x v="1"/>
    <x v="0"/>
    <s v="mkalra(Manoj Kalra)"/>
    <s v="Executed"/>
  </r>
  <r>
    <n v="1695"/>
    <x v="0"/>
    <s v="U3400 R6.4 - NIC3"/>
    <s v="017 - Supply Capacity Control"/>
    <s v="ESCC Operation on Export"/>
    <s v="1-Critical"/>
    <s v=" "/>
    <x v="11"/>
    <d v="1899-12-30T17:53:57"/>
    <s v="Passed"/>
    <x v="1"/>
    <x v="0"/>
    <s v="mkalra(Manoj Kalra)"/>
    <s v="Executed"/>
  </r>
  <r>
    <n v="83"/>
    <x v="0"/>
    <s v="U1300 R6.4 - NIC3"/>
    <s v="017 - Supply Capacity Control"/>
    <s v="ESCC Normal Operation - Active Meters"/>
    <s v="1-Critical"/>
    <s v=" "/>
    <x v="6"/>
    <d v="1899-12-30T16:18:21"/>
    <s v="Passed"/>
    <x v="1"/>
    <x v="1"/>
    <s v="knjuguna(Kamau Njuguna)"/>
    <s v="Executed"/>
  </r>
  <r>
    <n v="1695"/>
    <x v="0"/>
    <s v="U1300 R6.4 - NIC3"/>
    <s v="017 - Supply Capacity Control"/>
    <s v="ESCC Operation on Export"/>
    <s v="1-Critical"/>
    <s v=" "/>
    <x v="6"/>
    <d v="1899-12-30T16:41:40"/>
    <s v="Passed"/>
    <x v="1"/>
    <x v="1"/>
    <s v="knjuguna(Kamau Njuguna)"/>
    <s v="Executed"/>
  </r>
  <r>
    <n v="83"/>
    <x v="0"/>
    <s v="U3400 R6.4 - NIC5"/>
    <s v="017 - Supply Capacity Control"/>
    <s v="ESCC Normal Operation - Active Meters"/>
    <s v="1-Critical"/>
    <s v=" "/>
    <x v="7"/>
    <d v="1899-12-30T10:51:23"/>
    <s v="Passed"/>
    <x v="1"/>
    <x v="0"/>
    <s v="mkalra(Manoj Kalra)"/>
    <s v="Executed"/>
  </r>
  <r>
    <n v="1695"/>
    <x v="0"/>
    <s v="U3400 R6.4 - NIC5"/>
    <s v="017 - Supply Capacity Control"/>
    <s v="ESCC Operation on Export"/>
    <s v="1-Critical"/>
    <s v=" "/>
    <x v="11"/>
    <d v="1899-12-30T17:53:53"/>
    <s v="Passed"/>
    <x v="1"/>
    <x v="0"/>
    <s v="mkalra(Manoj Kalra)"/>
    <s v="Executed"/>
  </r>
  <r>
    <n v="83"/>
    <x v="0"/>
    <s v="U1300 R6.4 - NIC5"/>
    <s v="017 - Supply Capacity Control"/>
    <s v="ESCC Normal Operation - Active Meters"/>
    <s v="1-Critical"/>
    <s v=" "/>
    <x v="6"/>
    <d v="1899-12-30T16:19:14"/>
    <s v="Passed"/>
    <x v="1"/>
    <x v="1"/>
    <s v="knjuguna(Kamau Njuguna)"/>
    <s v="Executed"/>
  </r>
  <r>
    <n v="1695"/>
    <x v="0"/>
    <s v="U1300 R6.4 - NIC5"/>
    <s v="017 - Supply Capacity Control"/>
    <s v="ESCC Operation on Export"/>
    <s v="1-Critical"/>
    <s v=" "/>
    <x v="6"/>
    <d v="1899-12-30T16:42:22"/>
    <s v="Passed"/>
    <x v="1"/>
    <x v="1"/>
    <s v="knjuguna(Kamau Njuguna)"/>
    <s v="Executed"/>
  </r>
  <r>
    <n v="84"/>
    <x v="0"/>
    <s v="U3400 R6.4 - NIC5"/>
    <s v="018 - Security"/>
    <s v="Meter tamper - terminal cover"/>
    <s v="1-Critical"/>
    <s v=" "/>
    <x v="14"/>
    <d v="1899-12-30T12:32:51"/>
    <s v="Passed"/>
    <x v="1"/>
    <x v="0"/>
    <s v="mkalra(Manoj Kalra)"/>
    <s v="Executed"/>
  </r>
  <r>
    <n v="84"/>
    <x v="0"/>
    <s v="U3400 R6.4 - NIC3"/>
    <s v="018 - Security"/>
    <s v="Meter tamper - terminal cover"/>
    <s v="1-Critical"/>
    <s v=" "/>
    <x v="14"/>
    <d v="1899-12-30T12:32:00"/>
    <s v="Passed"/>
    <x v="1"/>
    <x v="0"/>
    <s v="mkalra(Manoj Kalra)"/>
    <s v="Executed"/>
  </r>
  <r>
    <n v="84"/>
    <x v="0"/>
    <s v="U1300 R6.4 - NIC5"/>
    <s v="018 - Security"/>
    <s v="Meter tamper - terminal cover"/>
    <s v="1-Critical"/>
    <s v=" "/>
    <x v="11"/>
    <d v="1899-12-30T16:31:35"/>
    <s v="Passed"/>
    <x v="1"/>
    <x v="1"/>
    <s v="knjuguna(Kamau Njuguna)"/>
    <s v="Executed"/>
  </r>
  <r>
    <n v="84"/>
    <x v="0"/>
    <s v="U1300 R6.4 - NIC3"/>
    <s v="018 - Security"/>
    <s v="Meter tamper - terminal cover"/>
    <s v="1-Critical"/>
    <s v=" "/>
    <x v="11"/>
    <d v="1899-12-30T16:30:27"/>
    <s v="Passed"/>
    <x v="1"/>
    <x v="1"/>
    <s v="knjuguna(Kamau Njuguna)"/>
    <s v="Executed"/>
  </r>
  <r>
    <n v="1793"/>
    <x v="0"/>
    <s v="U3400 R6.4 - NIC3"/>
    <s v="020 - Broadcast"/>
    <s v="Broadcast - Load contactor connect via broadcast (immediate, no randomisation)"/>
    <s v="2-High"/>
    <s v=" "/>
    <x v="7"/>
    <d v="1899-12-30T15:03:09"/>
    <s v="Passed"/>
    <x v="1"/>
    <x v="0"/>
    <s v="mkalra(Manoj Kalra)"/>
    <s v="Executed"/>
  </r>
  <r>
    <n v="1794"/>
    <x v="0"/>
    <s v="U3400 R6.4 - NIC3"/>
    <s v="020 - Broadcast"/>
    <s v="Broadcast - Load contactor connect via broadcast (immediate, randomisation)"/>
    <s v="2-High"/>
    <s v=" "/>
    <x v="7"/>
    <d v="1899-12-30T15:29:15"/>
    <s v="Failed"/>
    <x v="2"/>
    <x v="0"/>
    <s v="mkalra(Manoj Kalra)"/>
    <s v="Executed"/>
  </r>
  <r>
    <n v="1795"/>
    <x v="0"/>
    <s v="U3400 R6.4 - NIC3"/>
    <s v="020 - Broadcast"/>
    <s v="Broadcast - Load contactor connect via broadcast (scheduled, no randomisation)"/>
    <s v="2-High"/>
    <s v=" "/>
    <x v="7"/>
    <d v="1899-12-30T15:49:20"/>
    <s v="Passed"/>
    <x v="1"/>
    <x v="0"/>
    <s v="mkalra(Manoj Kalra)"/>
    <s v="Executed"/>
  </r>
  <r>
    <n v="1796"/>
    <x v="0"/>
    <s v="U3400 R6.4 - NIC3"/>
    <s v="020 - Broadcast"/>
    <s v="Broadcast - Load contactor disconnect via broadcast (immediate, no randomisation)"/>
    <s v="2-High"/>
    <s v=" "/>
    <x v="11"/>
    <d v="1899-12-30T10:52:12"/>
    <s v="Passed"/>
    <x v="1"/>
    <x v="0"/>
    <s v="mkalra(Manoj Kalra)"/>
    <s v="Executed"/>
  </r>
  <r>
    <n v="1797"/>
    <x v="0"/>
    <s v="U3400 R6.4 - NIC3"/>
    <s v="020 - Broadcast"/>
    <s v="Broadcast - Load contactor disconnect via broadcast (immediate, randomisation)"/>
    <s v="2-High"/>
    <s v=" "/>
    <x v="11"/>
    <d v="1899-12-30T11:15:15"/>
    <s v="Failed"/>
    <x v="2"/>
    <x v="0"/>
    <s v="mkalra(Manoj Kalra)"/>
    <s v="Executed"/>
  </r>
  <r>
    <n v="1798"/>
    <x v="0"/>
    <s v="U3400 R6.4 - NIC3"/>
    <s v="020 - Broadcast"/>
    <s v="Broadcast - Load contactor disconnect via broadcast (scheduled, no randomisation)"/>
    <s v="2-High"/>
    <s v=" "/>
    <x v="11"/>
    <d v="1899-12-30T11:42:24"/>
    <s v="Passed"/>
    <x v="1"/>
    <x v="0"/>
    <s v="mkalra(Manoj Kalra)"/>
    <s v="Executed"/>
  </r>
  <r>
    <n v="129"/>
    <x v="0"/>
    <s v="U3400 R6.4 - NIC3"/>
    <s v="020 - Broadcast"/>
    <s v="Broadcast 01 - Broadcast Groups - UIQ to meter"/>
    <s v="2-High"/>
    <s v=" "/>
    <x v="16"/>
    <d v="1899-12-30T11:58:42"/>
    <s v="Passed"/>
    <x v="1"/>
    <x v="0"/>
    <s v="mkalra(Manoj Kalra)"/>
    <s v="Executed"/>
  </r>
  <r>
    <n v="130"/>
    <x v="0"/>
    <s v="U3400 R6.4 - NIC3"/>
    <s v="020 - Broadcast"/>
    <s v="Broadcast 02 - Broadcast Groups - meter to UIQ"/>
    <s v="2-High"/>
    <s v=" "/>
    <x v="16"/>
    <d v="1899-12-30T13:33:24"/>
    <s v="Passed"/>
    <x v="1"/>
    <x v="0"/>
    <s v="mkalra(Manoj Kalra)"/>
    <s v="Executed"/>
  </r>
  <r>
    <n v="137"/>
    <x v="0"/>
    <s v="U3400 R6.4 - NIC3"/>
    <s v="020 - Broadcast"/>
    <s v="Broadcast 08 - ESCC opeation via broadcast"/>
    <s v="2-High"/>
    <s v=" "/>
    <x v="7"/>
    <d v="1899-12-30T13:03:58"/>
    <s v="Passed"/>
    <x v="1"/>
    <x v="0"/>
    <s v="mkalra(Manoj Kalra)"/>
    <s v="Executed"/>
  </r>
  <r>
    <n v="136"/>
    <x v="0"/>
    <s v="U3400 R6.4 - NIC3"/>
    <s v="020 - Broadcast"/>
    <s v="Broadcast 09 - Load contactor opeation via broadcast"/>
    <s v="2-High"/>
    <s v=" "/>
    <x v="7"/>
    <d v="1899-12-30T14:28:22"/>
    <s v="Passed"/>
    <x v="1"/>
    <x v="0"/>
    <s v="mkalra(Manoj Kalra)"/>
    <s v="Executed"/>
  </r>
  <r>
    <n v="1793"/>
    <x v="0"/>
    <s v="U1300 R6.4 - NIC3"/>
    <s v="020 - Broadcast"/>
    <s v="Broadcast - Load contactor connect via broadcast (immediate, no randomisation)"/>
    <s v="2-High"/>
    <s v=" "/>
    <x v="15"/>
    <d v="1899-12-30T12:11:29"/>
    <s v="Passed"/>
    <x v="1"/>
    <x v="1"/>
    <s v="knjuguna(Kamau Njuguna)"/>
    <s v="Executed"/>
  </r>
  <r>
    <n v="1794"/>
    <x v="0"/>
    <s v="U1300 R6.4 - NIC3"/>
    <s v="020 - Broadcast"/>
    <s v="Broadcast - Load contactor connect via broadcast (immediate, randomisation)"/>
    <s v="2-High"/>
    <s v=" "/>
    <x v="15"/>
    <d v="1899-12-30T13:10:39"/>
    <s v="Failed"/>
    <x v="2"/>
    <x v="1"/>
    <s v="knjuguna(Kamau Njuguna)"/>
    <s v="Executed"/>
  </r>
  <r>
    <n v="1795"/>
    <x v="0"/>
    <s v="U1300 R6.4 - NIC3"/>
    <s v="020 - Broadcast"/>
    <s v="Broadcast - Load contactor connect via broadcast (scheduled, no randomisation)"/>
    <s v="2-High"/>
    <s v=" "/>
    <x v="15"/>
    <d v="1899-12-30T14:11:05"/>
    <s v="Passed"/>
    <x v="1"/>
    <x v="1"/>
    <s v="knjuguna(Kamau Njuguna)"/>
    <s v="Executed"/>
  </r>
  <r>
    <n v="1796"/>
    <x v="0"/>
    <s v="U1300 R6.4 - NIC3"/>
    <s v="020 - Broadcast"/>
    <s v="Broadcast - Load contactor disconnect via broadcast (immediate, no randomisation)"/>
    <s v="2-High"/>
    <s v=" "/>
    <x v="12"/>
    <d v="1899-12-30T09:42:19"/>
    <s v="Passed"/>
    <x v="1"/>
    <x v="1"/>
    <s v="knjuguna(Kamau Njuguna)"/>
    <s v="Executed"/>
  </r>
  <r>
    <n v="1797"/>
    <x v="0"/>
    <s v="U1300 R6.4 - NIC3"/>
    <s v="020 - Broadcast"/>
    <s v="Broadcast - Load contactor disconnect via broadcast (immediate, randomisation)"/>
    <s v="2-High"/>
    <s v=" "/>
    <x v="12"/>
    <d v="1899-12-30T10:12:29"/>
    <s v="Failed"/>
    <x v="2"/>
    <x v="1"/>
    <s v="knjuguna(Kamau Njuguna)"/>
    <s v="Executed"/>
  </r>
  <r>
    <n v="1798"/>
    <x v="0"/>
    <s v="U1300 R6.4 - NIC3"/>
    <s v="020 - Broadcast"/>
    <s v="Broadcast - Load contactor disconnect via broadcast (scheduled, no randomisation)"/>
    <s v="2-High"/>
    <s v=" "/>
    <x v="12"/>
    <d v="1899-12-30T10:43:50"/>
    <s v="Passed"/>
    <x v="1"/>
    <x v="1"/>
    <s v="knjuguna(Kamau Njuguna)"/>
    <s v="Executed"/>
  </r>
  <r>
    <n v="129"/>
    <x v="0"/>
    <s v="U1300 R6.4 - NIC3"/>
    <s v="020 - Broadcast"/>
    <s v="Broadcast 01 - Broadcast Groups - UIQ to meter"/>
    <s v="2-High"/>
    <s v=" "/>
    <x v="8"/>
    <d v="1899-12-30T16:50:31"/>
    <s v="Passed"/>
    <x v="1"/>
    <x v="1"/>
    <s v="knjuguna(Kamau Njuguna)"/>
    <s v="Executed"/>
  </r>
  <r>
    <n v="130"/>
    <x v="0"/>
    <s v="U1300 R6.4 - NIC3"/>
    <s v="020 - Broadcast"/>
    <s v="Broadcast 02 - Broadcast Groups - meter to UIQ"/>
    <s v="2-High"/>
    <s v=" "/>
    <x v="15"/>
    <d v="1899-12-30T11:03:17"/>
    <s v="Passed"/>
    <x v="1"/>
    <x v="1"/>
    <s v="knjuguna(Kamau Njuguna)"/>
    <s v="Executed"/>
  </r>
  <r>
    <n v="137"/>
    <x v="0"/>
    <s v="U1300 R6.4 - NIC3"/>
    <s v="020 - Broadcast"/>
    <s v="Broadcast 08 - ESCC opeation via broadcast"/>
    <s v="2-High"/>
    <s v=" "/>
    <x v="12"/>
    <d v="1899-12-30T12:02:11"/>
    <s v="Passed"/>
    <x v="1"/>
    <x v="1"/>
    <s v="knjuguna(Kamau Njuguna)"/>
    <s v="Executed"/>
  </r>
  <r>
    <n v="136"/>
    <x v="0"/>
    <s v="U1300 R6.4 - NIC3"/>
    <s v="020 - Broadcast"/>
    <s v="Broadcast 09 - Load contactor opeation via broadcast"/>
    <s v="2-High"/>
    <s v=" "/>
    <x v="12"/>
    <d v="1899-12-30T17:12:41"/>
    <s v="Passed"/>
    <x v="1"/>
    <x v="1"/>
    <s v="knjuguna(Kamau Njuguna)"/>
    <s v="Executed"/>
  </r>
  <r>
    <n v="1793"/>
    <x v="0"/>
    <s v="U3400 R6.4 - NIC5"/>
    <s v="020 - Broadcast"/>
    <s v="Broadcast - Load contactor connect via broadcast (immediate, no randomisation)"/>
    <s v="2-High"/>
    <s v=" "/>
    <x v="7"/>
    <d v="1899-12-30T15:03:52"/>
    <s v="Passed"/>
    <x v="1"/>
    <x v="0"/>
    <s v="mkalra(Manoj Kalra)"/>
    <s v="Executed"/>
  </r>
  <r>
    <n v="1794"/>
    <x v="0"/>
    <s v="U3400 R6.4 - NIC5"/>
    <s v="020 - Broadcast"/>
    <s v="Broadcast - Load contactor connect via broadcast (immediate, randomisation)"/>
    <s v="2-High"/>
    <s v=" "/>
    <x v="7"/>
    <d v="1899-12-30T15:28:28"/>
    <s v="Failed"/>
    <x v="2"/>
    <x v="0"/>
    <s v="mkalra(Manoj Kalra)"/>
    <s v="Executed"/>
  </r>
  <r>
    <n v="1795"/>
    <x v="0"/>
    <s v="U3400 R6.4 - NIC5"/>
    <s v="020 - Broadcast"/>
    <s v="Broadcast - Load contactor connect via broadcast (scheduled, no randomisation)"/>
    <s v="2-High"/>
    <s v=" "/>
    <x v="7"/>
    <d v="1899-12-30T15:49:03"/>
    <s v="Passed"/>
    <x v="1"/>
    <x v="0"/>
    <s v="mkalra(Manoj Kalra)"/>
    <s v="Executed"/>
  </r>
  <r>
    <n v="1796"/>
    <x v="0"/>
    <s v="U3400 R6.4 - NIC5"/>
    <s v="020 - Broadcast"/>
    <s v="Broadcast - Load contactor disconnect via broadcast (immediate, no randomisation)"/>
    <s v="2-High"/>
    <s v=" "/>
    <x v="11"/>
    <d v="1899-12-30T10:52:13"/>
    <s v="Passed"/>
    <x v="1"/>
    <x v="0"/>
    <s v="mkalra(Manoj Kalra)"/>
    <s v="Executed"/>
  </r>
  <r>
    <n v="1797"/>
    <x v="0"/>
    <s v="U3400 R6.4 - NIC5"/>
    <s v="020 - Broadcast"/>
    <s v="Broadcast - Load contactor disconnect via broadcast (immediate, randomisation)"/>
    <s v="2-High"/>
    <s v=" "/>
    <x v="11"/>
    <d v="1899-12-30T11:15:12"/>
    <s v="Failed"/>
    <x v="2"/>
    <x v="0"/>
    <s v="mkalra(Manoj Kalra)"/>
    <s v="Executed"/>
  </r>
  <r>
    <n v="1798"/>
    <x v="0"/>
    <s v="U3400 R6.4 - NIC5"/>
    <s v="020 - Broadcast"/>
    <s v="Broadcast - Load contactor disconnect via broadcast (scheduled, no randomisation)"/>
    <s v="2-High"/>
    <s v=" "/>
    <x v="11"/>
    <d v="1899-12-30T11:42:26"/>
    <s v="Passed"/>
    <x v="1"/>
    <x v="0"/>
    <s v="mkalra(Manoj Kalra)"/>
    <s v="Executed"/>
  </r>
  <r>
    <n v="129"/>
    <x v="0"/>
    <s v="U3400 R6.4 - NIC5"/>
    <s v="020 - Broadcast"/>
    <s v="Broadcast 01 - Broadcast Groups - UIQ to meter"/>
    <s v="2-High"/>
    <s v=" "/>
    <x v="16"/>
    <d v="1899-12-30T11:59:45"/>
    <s v="Passed"/>
    <x v="1"/>
    <x v="0"/>
    <s v="mkalra(Manoj Kalra)"/>
    <s v="Executed"/>
  </r>
  <r>
    <n v="130"/>
    <x v="0"/>
    <s v="U3400 R6.4 - NIC5"/>
    <s v="020 - Broadcast"/>
    <s v="Broadcast 02 - Broadcast Groups - meter to UIQ"/>
    <s v="2-High"/>
    <s v=" "/>
    <x v="16"/>
    <d v="1899-12-30T13:33:20"/>
    <s v="Passed"/>
    <x v="1"/>
    <x v="0"/>
    <s v="mkalra(Manoj Kalra)"/>
    <s v="Executed"/>
  </r>
  <r>
    <n v="137"/>
    <x v="0"/>
    <s v="U3400 R6.4 - NIC5"/>
    <s v="020 - Broadcast"/>
    <s v="Broadcast 08 - ESCC opeation via broadcast"/>
    <s v="2-High"/>
    <s v=" "/>
    <x v="7"/>
    <d v="1899-12-30T13:03:53"/>
    <s v="Passed"/>
    <x v="1"/>
    <x v="0"/>
    <s v="mkalra(Manoj Kalra)"/>
    <s v="Executed"/>
  </r>
  <r>
    <n v="136"/>
    <x v="0"/>
    <s v="U3400 R6.4 - NIC5"/>
    <s v="020 - Broadcast"/>
    <s v="Broadcast 09 - Load contactor opeation via broadcast"/>
    <s v="2-High"/>
    <s v=" "/>
    <x v="7"/>
    <d v="1899-12-30T14:28:17"/>
    <s v="Passed"/>
    <x v="1"/>
    <x v="0"/>
    <s v="mkalra(Manoj Kalra)"/>
    <s v="Executed"/>
  </r>
  <r>
    <n v="1793"/>
    <x v="0"/>
    <s v="U1300 R6.4 - NIC5"/>
    <s v="020 - Broadcast"/>
    <s v="Broadcast - Load contactor connect via broadcast (immediate, no randomisation)"/>
    <s v="2-High"/>
    <s v=" "/>
    <x v="15"/>
    <d v="1899-12-30T12:15:02"/>
    <s v="Passed"/>
    <x v="1"/>
    <x v="1"/>
    <s v="knjuguna(Kamau Njuguna)"/>
    <s v="Executed"/>
  </r>
  <r>
    <n v="1794"/>
    <x v="0"/>
    <s v="U1300 R6.4 - NIC5"/>
    <s v="020 - Broadcast"/>
    <s v="Broadcast - Load contactor connect via broadcast (immediate, randomisation)"/>
    <s v="2-High"/>
    <s v=" "/>
    <x v="15"/>
    <d v="1899-12-30T13:10:13"/>
    <s v="Failed"/>
    <x v="2"/>
    <x v="1"/>
    <s v="knjuguna(Kamau Njuguna)"/>
    <s v="Executed"/>
  </r>
  <r>
    <n v="1795"/>
    <x v="0"/>
    <s v="U1300 R6.4 - NIC5"/>
    <s v="020 - Broadcast"/>
    <s v="Broadcast - Load contactor connect via broadcast (scheduled, no randomisation)"/>
    <s v="2-High"/>
    <s v=" "/>
    <x v="15"/>
    <d v="1899-12-30T14:13:31"/>
    <s v="Passed"/>
    <x v="1"/>
    <x v="1"/>
    <s v="knjuguna(Kamau Njuguna)"/>
    <s v="Executed"/>
  </r>
  <r>
    <n v="1796"/>
    <x v="0"/>
    <s v="U1300 R6.4 - NIC5"/>
    <s v="020 - Broadcast"/>
    <s v="Broadcast - Load contactor disconnect via broadcast (immediate, no randomisation)"/>
    <s v="2-High"/>
    <s v=" "/>
    <x v="12"/>
    <d v="1899-12-30T09:43:16"/>
    <s v="Passed"/>
    <x v="1"/>
    <x v="1"/>
    <s v="knjuguna(Kamau Njuguna)"/>
    <s v="Executed"/>
  </r>
  <r>
    <n v="1797"/>
    <x v="0"/>
    <s v="U1300 R6.4 - NIC5"/>
    <s v="020 - Broadcast"/>
    <s v="Broadcast - Load contactor disconnect via broadcast (immediate, randomisation)"/>
    <s v="2-High"/>
    <s v=" "/>
    <x v="9"/>
    <d v="1899-12-30T14:39:01"/>
    <s v="Failed"/>
    <x v="2"/>
    <x v="1"/>
    <s v="knjuguna(Kamau Njuguna)"/>
    <s v="Executed"/>
  </r>
  <r>
    <n v="1798"/>
    <x v="0"/>
    <s v="U1300 R6.4 - NIC5"/>
    <s v="020 - Broadcast"/>
    <s v="Broadcast - Load contactor disconnect via broadcast (scheduled, no randomisation)"/>
    <s v="2-High"/>
    <s v=" "/>
    <x v="12"/>
    <d v="1899-12-30T10:42:09"/>
    <s v="Passed"/>
    <x v="1"/>
    <x v="1"/>
    <s v="knjuguna(Kamau Njuguna)"/>
    <s v="Executed"/>
  </r>
  <r>
    <n v="129"/>
    <x v="0"/>
    <s v="U1300 R6.4 - NIC5"/>
    <s v="020 - Broadcast"/>
    <s v="Broadcast 01 - Broadcast Groups - UIQ to meter"/>
    <s v="2-High"/>
    <s v=" "/>
    <x v="8"/>
    <d v="1899-12-30T16:37:23"/>
    <s v="Passed"/>
    <x v="1"/>
    <x v="1"/>
    <s v="knjuguna(Kamau Njuguna)"/>
    <s v="Executed"/>
  </r>
  <r>
    <n v="130"/>
    <x v="0"/>
    <s v="U1300 R6.4 - NIC5"/>
    <s v="020 - Broadcast"/>
    <s v="Broadcast 02 - Broadcast Groups - meter to UIQ"/>
    <s v="2-High"/>
    <s v=" "/>
    <x v="15"/>
    <d v="1899-12-30T11:02:34"/>
    <s v="Passed"/>
    <x v="1"/>
    <x v="1"/>
    <s v="knjuguna(Kamau Njuguna)"/>
    <s v="Executed"/>
  </r>
  <r>
    <n v="137"/>
    <x v="0"/>
    <s v="U1300 R6.4 - NIC5"/>
    <s v="020 - Broadcast"/>
    <s v="Broadcast 08 - ESCC opeation via broadcast"/>
    <s v="2-High"/>
    <s v=" "/>
    <x v="12"/>
    <d v="1899-12-30T12:02:57"/>
    <s v="Passed"/>
    <x v="1"/>
    <x v="1"/>
    <s v="knjuguna(Kamau Njuguna)"/>
    <s v="Executed"/>
  </r>
  <r>
    <n v="136"/>
    <x v="0"/>
    <s v="U1300 R6.4 - NIC5"/>
    <s v="020 - Broadcast"/>
    <s v="Broadcast 09 - Load contactor opeation via broadcast"/>
    <s v="2-High"/>
    <s v=" "/>
    <x v="12"/>
    <d v="1899-12-30T17:12:32"/>
    <s v="Passed"/>
    <x v="1"/>
    <x v="1"/>
    <s v="knjuguna(Kamau Njuguna)"/>
    <s v="Executed"/>
  </r>
  <r>
    <n v="132"/>
    <x v="0"/>
    <s v="U1300 R6.4 - NIC3"/>
    <s v="020 - Broadcast"/>
    <s v="Broadcast 04 - Confirm the range of broadcast groups"/>
    <s v="2-High"/>
    <s v=" "/>
    <x v="6"/>
    <d v="1899-12-30T17:08:04"/>
    <s v="Passed"/>
    <x v="1"/>
    <x v="1"/>
    <s v="knjuguna(Kamau Njuguna)"/>
    <s v="Executed"/>
  </r>
  <r>
    <n v="132"/>
    <x v="0"/>
    <s v="U1300 R6.4 - NIC5"/>
    <s v="020 - Broadcast"/>
    <s v="Broadcast 04 - Confirm the range of broadcast groups"/>
    <s v="2-High"/>
    <s v=" "/>
    <x v="6"/>
    <d v="1899-12-30T17:07:54"/>
    <s v="Passed"/>
    <x v="1"/>
    <x v="1"/>
    <s v="knjuguna(Kamau Njuguna)"/>
    <s v="Executed"/>
  </r>
  <r>
    <n v="132"/>
    <x v="0"/>
    <s v="U3400 R6.4 - NIC3"/>
    <s v="020 - Broadcast"/>
    <s v="Broadcast 04 - Confirm the range of broadcast groups"/>
    <s v="2-High"/>
    <s v=" "/>
    <x v="16"/>
    <d v="1899-12-30T13:44:40"/>
    <s v="Passed"/>
    <x v="1"/>
    <x v="0"/>
    <s v="mkalra(Manoj Kalra)"/>
    <s v="Executed"/>
  </r>
  <r>
    <n v="132"/>
    <x v="0"/>
    <s v="U3400 R6.4 - NIC5"/>
    <s v="020 - Broadcast"/>
    <s v="Broadcast 04 - Confirm the range of broadcast groups"/>
    <s v="2-High"/>
    <s v=" "/>
    <x v="16"/>
    <d v="1899-12-30T13:44:37"/>
    <s v="Passed"/>
    <x v="1"/>
    <x v="0"/>
    <s v="mkalra(Manoj Kalra)"/>
    <s v="Executed"/>
  </r>
  <r>
    <n v="133"/>
    <x v="0"/>
    <s v="U3400 R6.4 - NIC5"/>
    <s v="020 - Broadcast"/>
    <s v="Broadcast 05 - Broadcast cert upload via netmgr"/>
    <s v="2-High"/>
    <s v=" "/>
    <x v="0"/>
    <d v="1899-12-30T17:17:21"/>
    <s v="RBT"/>
    <x v="0"/>
    <x v="0"/>
    <s v="mkalra(Manoj Kalra)"/>
    <s v="RBT"/>
  </r>
  <r>
    <n v="134"/>
    <x v="0"/>
    <s v="U3400 R6.4 - NIC5"/>
    <s v="020 - Broadcast"/>
    <s v="Broadcast 07 - Broadcast cert upload via Network Centre"/>
    <s v="2-High"/>
    <s v=" "/>
    <x v="0"/>
    <d v="1899-12-30T17:17:19"/>
    <s v="RBT"/>
    <x v="0"/>
    <x v="0"/>
    <s v="mkalra(Manoj Kalra)"/>
    <s v="RBT"/>
  </r>
  <r>
    <n v="135"/>
    <x v="0"/>
    <s v="U3400 R6.4 - NIC5"/>
    <s v="020 - Broadcast"/>
    <s v="Broadcast 06 - Broadcast cert upload via FSU"/>
    <s v="2-High"/>
    <s v=" "/>
    <x v="0"/>
    <d v="1899-12-30T17:17:26"/>
    <s v="RBT"/>
    <x v="0"/>
    <x v="0"/>
    <s v="mkalra(Manoj Kalra)"/>
    <s v="RBT"/>
  </r>
  <r>
    <n v="133"/>
    <x v="0"/>
    <s v="U3400 R6.4 - NIC3"/>
    <s v="020 - Broadcast"/>
    <s v="Broadcast 05 - Broadcast cert upload via netmgr"/>
    <s v="2-High"/>
    <s v=" "/>
    <x v="0"/>
    <d v="1899-12-30T17:16:18"/>
    <s v="RBT"/>
    <x v="0"/>
    <x v="0"/>
    <s v="mkalra(Manoj Kalra)"/>
    <s v="RBT"/>
  </r>
  <r>
    <n v="134"/>
    <x v="0"/>
    <s v="U3400 R6.4 - NIC3"/>
    <s v="020 - Broadcast"/>
    <s v="Broadcast 07 - Broadcast cert upload via Network Centre"/>
    <s v="2-High"/>
    <s v=" "/>
    <x v="0"/>
    <d v="1899-12-30T17:15:53"/>
    <s v="RBT"/>
    <x v="0"/>
    <x v="0"/>
    <s v="mkalra(Manoj Kalra)"/>
    <s v="RBT"/>
  </r>
  <r>
    <n v="135"/>
    <x v="0"/>
    <s v="U3400 R6.4 - NIC3"/>
    <s v="020 - Broadcast"/>
    <s v="Broadcast 06 - Broadcast cert upload via FSU"/>
    <s v="2-High"/>
    <s v=" "/>
    <x v="0"/>
    <d v="1899-12-30T17:15:51"/>
    <s v="RBT"/>
    <x v="0"/>
    <x v="0"/>
    <s v="mkalra(Manoj Kalra)"/>
    <s v="RBT"/>
  </r>
  <r>
    <n v="133"/>
    <x v="0"/>
    <s v="U1300 R6.4 - NIC5"/>
    <s v="020 - Broadcast"/>
    <s v="Broadcast 05 - Broadcast cert upload via netmgr"/>
    <s v="2-High"/>
    <s v=" "/>
    <x v="0"/>
    <d v="1899-12-30T17:15:20"/>
    <s v="RBT"/>
    <x v="0"/>
    <x v="0"/>
    <s v="knjuguna(Kamau Njuguna)"/>
    <s v="RBT"/>
  </r>
  <r>
    <n v="134"/>
    <x v="0"/>
    <s v="U1300 R6.4 - NIC5"/>
    <s v="020 - Broadcast"/>
    <s v="Broadcast 07 - Broadcast cert upload via Network Centre"/>
    <s v="2-High"/>
    <s v=" "/>
    <x v="0"/>
    <d v="1899-12-30T17:15:23"/>
    <s v="RBT"/>
    <x v="0"/>
    <x v="0"/>
    <s v="knjuguna(Kamau Njuguna)"/>
    <s v="RBT"/>
  </r>
  <r>
    <n v="135"/>
    <x v="0"/>
    <s v="U1300 R6.4 - NIC5"/>
    <s v="020 - Broadcast"/>
    <s v="Broadcast 06 - Broadcast cert upload via FSU"/>
    <s v="2-High"/>
    <s v=" "/>
    <x v="0"/>
    <d v="1899-12-30T17:15:29"/>
    <s v="RBT"/>
    <x v="0"/>
    <x v="0"/>
    <s v="knjuguna(Kamau Njuguna)"/>
    <s v="RBT"/>
  </r>
  <r>
    <n v="133"/>
    <x v="0"/>
    <s v="U1300 R6.4 - NIC3"/>
    <s v="020 - Broadcast"/>
    <s v="Broadcast 05 - Broadcast cert upload via netmgr"/>
    <s v="2-High"/>
    <s v=" "/>
    <x v="0"/>
    <d v="1899-12-30T17:13:27"/>
    <s v="RBT"/>
    <x v="0"/>
    <x v="0"/>
    <s v="knjuguna(Kamau Njuguna)"/>
    <s v="RBT"/>
  </r>
  <r>
    <n v="134"/>
    <x v="0"/>
    <s v="U1300 R6.4 - NIC3"/>
    <s v="020 - Broadcast"/>
    <s v="Broadcast 07 - Broadcast cert upload via Network Centre"/>
    <s v="2-High"/>
    <s v=" "/>
    <x v="0"/>
    <d v="1899-12-30T17:13:38"/>
    <s v="RBT"/>
    <x v="0"/>
    <x v="0"/>
    <s v="knjuguna(Kamau Njuguna)"/>
    <s v="RBT"/>
  </r>
  <r>
    <n v="135"/>
    <x v="0"/>
    <s v="U1300 R6.4 - NIC3"/>
    <s v="020 - Broadcast"/>
    <s v="Broadcast 06 - Broadcast cert upload via FSU"/>
    <s v="2-High"/>
    <s v=" "/>
    <x v="0"/>
    <d v="1899-12-30T17:13:35"/>
    <s v="RBT"/>
    <x v="0"/>
    <x v="0"/>
    <s v="knjuguna(Kamau Njuguna)"/>
    <s v="RBT"/>
  </r>
  <r>
    <n v="1802"/>
    <x v="0"/>
    <s v="U3400 R6.4 - NIC5"/>
    <s v="HSM Cert Refresh"/>
    <s v="HCM -  Send message to IHD"/>
    <s v="3-Medium"/>
    <s v=" "/>
    <x v="4"/>
    <d v="1899-12-30T15:05:53"/>
    <s v="RBT"/>
    <x v="1"/>
    <x v="0"/>
    <s v="mkalra(Manoj Kalra)"/>
    <s v="Executed"/>
  </r>
  <r>
    <n v="1802"/>
    <x v="0"/>
    <s v="U3400 R6.4 - NIC3"/>
    <s v="HSM Cert Refresh"/>
    <s v="HCM -  Send message to IHD"/>
    <s v="3-Medium"/>
    <s v=" "/>
    <x v="4"/>
    <d v="1899-12-30T15:07:08"/>
    <s v="RBT"/>
    <x v="6"/>
    <x v="0"/>
    <s v="mkalra(Manoj Kalra)"/>
    <s v="No Run"/>
  </r>
  <r>
    <n v="1802"/>
    <x v="0"/>
    <s v="U1300 R6.4 - NIC5"/>
    <s v="HSM Cert Refresh"/>
    <s v="HCM -  Send message to IHD"/>
    <s v="3-Medium"/>
    <s v="No appropriate meter with HAN certificate but passed on NIC320 meter"/>
    <x v="10"/>
    <d v="1899-12-30T14:33:04"/>
    <s v="RBT"/>
    <x v="0"/>
    <x v="1"/>
    <s v="knjuguna(Kamau Njuguna)"/>
    <s v="RBT"/>
  </r>
  <r>
    <n v="1802"/>
    <x v="0"/>
    <s v="U1300 R6.4 - NIC3"/>
    <s v="HSM Cert Refresh"/>
    <s v="HCM -  Send message to IHD"/>
    <s v="3-Medium"/>
    <s v=" "/>
    <x v="10"/>
    <d v="1899-12-30T13:46:28"/>
    <s v="RBT"/>
    <x v="1"/>
    <x v="1"/>
    <s v="knjuguna(Kamau Njuguna)"/>
    <s v="Executed"/>
  </r>
  <r>
    <n v="1722"/>
    <x v="0"/>
    <s v="U3400 R6.4 - NIC5"/>
    <s v="PQ Polling"/>
    <s v="02 L&amp;G  PQ Configuration - Remote Enable-Disable"/>
    <s v="1-Critical"/>
    <s v=" "/>
    <x v="0"/>
    <d v="1899-12-30T17:17:33"/>
    <s v="RBT"/>
    <x v="0"/>
    <x v="0"/>
    <s v="mkalra(Manoj Kalra)"/>
    <s v="RBT"/>
  </r>
  <r>
    <n v="1722"/>
    <x v="0"/>
    <s v="U3400 R6.4 - NIC3"/>
    <s v="PQ Polling"/>
    <s v="02 L&amp;G  PQ Configuration - Remote Enable-Disable"/>
    <s v="1-Critical"/>
    <s v=" "/>
    <x v="0"/>
    <d v="1899-12-30T17:15:48"/>
    <s v="RBT"/>
    <x v="0"/>
    <x v="0"/>
    <s v="mkalra(Manoj Kalra)"/>
    <s v="RBT"/>
  </r>
  <r>
    <n v="1722"/>
    <x v="0"/>
    <s v="U1300 R6.4 - NIC5"/>
    <s v="PQ Polling"/>
    <s v="02 L&amp;G  PQ Configuration - Remote Enable-Disable"/>
    <s v="1-Critical"/>
    <s v=" "/>
    <x v="0"/>
    <d v="1899-12-30T17:15:17"/>
    <s v="RBT"/>
    <x v="0"/>
    <x v="0"/>
    <s v="knjuguna(Kamau Njuguna)"/>
    <s v="RBT"/>
  </r>
  <r>
    <n v="1722"/>
    <x v="0"/>
    <s v="U1300 R6.4 - NIC3"/>
    <s v="PQ Polling"/>
    <s v="02 L&amp;G  PQ Configuration - Remote Enable-Disable"/>
    <s v="1-Critical"/>
    <s v=" "/>
    <x v="0"/>
    <d v="1899-12-30T17:12:20"/>
    <s v="RBT"/>
    <x v="0"/>
    <x v="0"/>
    <s v="knjuguna(Kamau Njuguna)"/>
    <s v="RBT"/>
  </r>
  <r>
    <n v="1723"/>
    <x v="0"/>
    <s v="U1300 R6.4 - NIC3"/>
    <s v="PQ Polling"/>
    <s v="03 L&amp;G PQ Polling - Data Integrity"/>
    <s v="1-Critical"/>
    <s v=" "/>
    <x v="0"/>
    <d v="1899-12-30T17:12:28"/>
    <s v="RBT"/>
    <x v="0"/>
    <x v="0"/>
    <s v="knjuguna(Kamau Njuguna)"/>
    <s v="RBT"/>
  </r>
  <r>
    <n v="1723"/>
    <x v="0"/>
    <s v="U1300 R6.4 - NIC5"/>
    <s v="PQ Polling"/>
    <s v="03 L&amp;G PQ Polling - Data Integrity"/>
    <s v="1-Critical"/>
    <s v=" "/>
    <x v="0"/>
    <d v="1899-12-30T17:15:19"/>
    <s v="RBT"/>
    <x v="0"/>
    <x v="0"/>
    <s v="knjuguna(Kamau Njuguna)"/>
    <s v="RBT"/>
  </r>
  <r>
    <n v="1723"/>
    <x v="0"/>
    <s v="U3400 R6.4 - NIC3"/>
    <s v="PQ Polling"/>
    <s v="03 L&amp;G PQ Polling - Data Integrity"/>
    <s v="1-Critical"/>
    <s v=" "/>
    <x v="0"/>
    <d v="1899-12-30T17:15:49"/>
    <s v="RBT"/>
    <x v="0"/>
    <x v="0"/>
    <s v="mkalra(Manoj Kalra)"/>
    <s v="RBT"/>
  </r>
  <r>
    <n v="1723"/>
    <x v="0"/>
    <s v="U3400 R6.4 - NIC5"/>
    <s v="PQ Polling"/>
    <s v="03 L&amp;G PQ Polling - Data Integrity"/>
    <s v="1-Critical"/>
    <s v=" "/>
    <x v="0"/>
    <d v="1899-12-30T17:17:23"/>
    <s v="RBT"/>
    <x v="0"/>
    <x v="0"/>
    <s v="mkalra(Manoj Kalra)"/>
    <s v="RBT"/>
  </r>
  <r>
    <m/>
    <x v="1"/>
    <m/>
    <m/>
    <m/>
    <m/>
    <m/>
    <x v="18"/>
    <m/>
    <m/>
    <x v="7"/>
    <x v="2"/>
    <m/>
    <m/>
  </r>
  <r>
    <m/>
    <x v="1"/>
    <m/>
    <m/>
    <m/>
    <m/>
    <m/>
    <x v="18"/>
    <m/>
    <m/>
    <x v="7"/>
    <x v="2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n v="36"/>
    <x v="0"/>
    <s v="U3400 R6.4 - NIC5"/>
    <s v="001 - Commissioning"/>
    <s v="Meter state transitions - New to xxx to Active"/>
    <s v="1-Critical"/>
    <s v=" "/>
    <d v="2024-09-24T00:00:00"/>
    <d v="1899-12-30T17:16:59"/>
    <s v="RBT"/>
    <s v="RBT"/>
    <s v="mkalra(Manoj Kalra)"/>
    <x v="0"/>
    <x v="0"/>
    <x v="0"/>
  </r>
  <r>
    <n v="36"/>
    <x v="0"/>
    <s v="U3400 R6.4 - NIC5"/>
    <s v="001 - Commissioning"/>
    <s v="Meter state transitions - New to xxx to Active"/>
    <s v="1-Critical"/>
    <s v=" "/>
    <d v="2024-09-24T00:00:00"/>
    <d v="1899-12-30T17:17:00"/>
    <s v="RBT"/>
    <s v="RBT"/>
    <s v="mkalra(Manoj Kalra)"/>
    <x v="0"/>
    <x v="0"/>
    <x v="0"/>
  </r>
  <r>
    <n v="36"/>
    <x v="0"/>
    <s v="U3400 R6.4 - NIC3"/>
    <s v="001 - Commissioning"/>
    <s v="Meter state transitions - New to xxx to Active"/>
    <s v="1-Critical"/>
    <s v=" "/>
    <d v="2024-09-24T00:00:00"/>
    <d v="1899-12-30T17:16:12"/>
    <s v="RBT"/>
    <s v="RBT"/>
    <s v="mkalra(Manoj Kalra)"/>
    <x v="0"/>
    <x v="0"/>
    <x v="0"/>
  </r>
  <r>
    <n v="36"/>
    <x v="0"/>
    <s v="U3400 R6.4 - NIC3"/>
    <s v="001 - Commissioning"/>
    <s v="Meter state transitions - New to xxx to Active"/>
    <s v="1-Critical"/>
    <s v=" "/>
    <d v="2024-09-24T00:00:00"/>
    <d v="1899-12-30T17:16:11"/>
    <s v="RBT"/>
    <s v="RBT"/>
    <s v="mkalra(Manoj Kalra)"/>
    <x v="0"/>
    <x v="0"/>
    <x v="0"/>
  </r>
  <r>
    <n v="36"/>
    <x v="0"/>
    <s v="U1300 R6.4 - NIC5"/>
    <s v="001 - Commissioning"/>
    <s v="Meter state transitions - New to xxx to Active"/>
    <s v="1-Critical"/>
    <s v=" "/>
    <d v="2024-09-24T00:00:00"/>
    <d v="1899-12-30T17:14:47"/>
    <s v="RBT"/>
    <s v="RBT"/>
    <s v="mkalra(Manoj Kalra)"/>
    <x v="1"/>
    <x v="0"/>
    <x v="0"/>
  </r>
  <r>
    <n v="36"/>
    <x v="0"/>
    <s v="U1300 R6.4 - NIC5"/>
    <s v="001 - Commissioning"/>
    <s v="Meter state transitions - New to xxx to Active"/>
    <s v="1-Critical"/>
    <s v=" "/>
    <d v="2024-09-24T00:00:00"/>
    <d v="1899-12-30T17:14:48"/>
    <s v="RBT"/>
    <s v="RBT"/>
    <s v="mkalra(Manoj Kalra)"/>
    <x v="1"/>
    <x v="0"/>
    <x v="0"/>
  </r>
  <r>
    <n v="36"/>
    <x v="0"/>
    <s v="U1300 R6.4 - NIC3"/>
    <s v="001 - Commissioning"/>
    <s v="Meter state transitions - New to xxx to Active"/>
    <s v="1-Critical"/>
    <s v=" "/>
    <d v="2024-09-24T00:00:00"/>
    <d v="1899-12-30T17:14:24"/>
    <s v="RBT"/>
    <s v="RBT"/>
    <s v="mkalra(Manoj Kalra)"/>
    <x v="1"/>
    <x v="0"/>
    <x v="0"/>
  </r>
  <r>
    <n v="36"/>
    <x v="0"/>
    <s v="U1300 R6.4 - NIC3"/>
    <s v="001 - Commissioning"/>
    <s v="Meter state transitions - New to xxx to Active"/>
    <s v="1-Critical"/>
    <s v=" "/>
    <d v="2024-09-24T00:00:00"/>
    <d v="1899-12-30T17:14:21"/>
    <s v="RBT"/>
    <s v="RBT"/>
    <s v="mkalra(Manoj Kalra)"/>
    <x v="1"/>
    <x v="0"/>
    <x v="0"/>
  </r>
  <r>
    <n v="32"/>
    <x v="0"/>
    <s v="U1300 R6.4 - NIC3"/>
    <s v="001 - Commissioning"/>
    <s v="Reloading RMA meters into UIQ"/>
    <s v="1-Critical"/>
    <s v=" "/>
    <d v="2024-09-24T00:00:00"/>
    <d v="1899-12-30T17:14:26"/>
    <s v="RBT"/>
    <s v="RBT"/>
    <s v="mkalra(Manoj Kalra)"/>
    <x v="1"/>
    <x v="0"/>
    <x v="0"/>
  </r>
  <r>
    <n v="32"/>
    <x v="0"/>
    <s v="U1300 R6.4 - NIC3"/>
    <s v="001 - Commissioning"/>
    <s v="Reloading RMA meters into UIQ"/>
    <s v="1-Critical"/>
    <s v=" "/>
    <d v="2024-09-24T00:00:00"/>
    <d v="1899-12-30T17:14:34"/>
    <s v="RBT"/>
    <s v="RBT"/>
    <s v="mkalra(Manoj Kalra)"/>
    <x v="1"/>
    <x v="0"/>
    <x v="0"/>
  </r>
  <r>
    <n v="32"/>
    <x v="0"/>
    <s v="U1300 R6.4 - NIC5"/>
    <s v="001 - Commissioning"/>
    <s v="Reloading RMA meters into UIQ"/>
    <s v="1-Critical"/>
    <s v=" "/>
    <d v="2024-09-24T00:00:00"/>
    <d v="1899-12-30T17:14:45"/>
    <s v="RBT"/>
    <s v="RBT"/>
    <s v="mkalra(Manoj Kalra)"/>
    <x v="1"/>
    <x v="0"/>
    <x v="0"/>
  </r>
  <r>
    <n v="32"/>
    <x v="0"/>
    <s v="U1300 R6.4 - NIC5"/>
    <s v="001 - Commissioning"/>
    <s v="Reloading RMA meters into UIQ"/>
    <s v="1-Critical"/>
    <s v=" "/>
    <d v="2024-09-24T00:00:00"/>
    <d v="1899-12-30T17:14:43"/>
    <s v="RBT"/>
    <s v="RBT"/>
    <s v="mkalra(Manoj Kalra)"/>
    <x v="1"/>
    <x v="0"/>
    <x v="0"/>
  </r>
  <r>
    <n v="32"/>
    <x v="0"/>
    <s v="U3400 R6.4 - NIC3"/>
    <s v="001 - Commissioning"/>
    <s v="Reloading RMA meters into UIQ"/>
    <s v="1-Critical"/>
    <s v=" "/>
    <d v="2024-09-24T00:00:00"/>
    <d v="1899-12-30T17:16:44"/>
    <s v="RBT"/>
    <s v="RBT"/>
    <s v="mkalra(Manoj Kalra)"/>
    <x v="0"/>
    <x v="0"/>
    <x v="0"/>
  </r>
  <r>
    <n v="32"/>
    <x v="0"/>
    <s v="U3400 R6.4 - NIC3"/>
    <s v="001 - Commissioning"/>
    <s v="Reloading RMA meters into UIQ"/>
    <s v="1-Critical"/>
    <s v=" "/>
    <d v="2024-09-24T00:00:00"/>
    <d v="1899-12-30T17:16:14"/>
    <s v="RBT"/>
    <s v="RBT"/>
    <s v="mkalra(Manoj Kalra)"/>
    <x v="0"/>
    <x v="0"/>
    <x v="0"/>
  </r>
  <r>
    <n v="32"/>
    <x v="0"/>
    <s v="U3400 R6.4 - NIC5"/>
    <s v="001 - Commissioning"/>
    <s v="Reloading RMA meters into UIQ"/>
    <s v="1-Critical"/>
    <s v=" "/>
    <d v="2024-09-24T00:00:00"/>
    <d v="1899-12-30T17:16:58"/>
    <s v="RBT"/>
    <s v="RBT"/>
    <s v="mkalra(Manoj Kalra)"/>
    <x v="0"/>
    <x v="0"/>
    <x v="0"/>
  </r>
  <r>
    <n v="32"/>
    <x v="0"/>
    <s v="U3400 R6.4 - NIC5"/>
    <s v="001 - Commissioning"/>
    <s v="Reloading RMA meters into UIQ"/>
    <s v="1-Critical"/>
    <s v=" "/>
    <d v="2024-09-24T00:00:00"/>
    <d v="1899-12-30T17:16:56"/>
    <s v="RBT"/>
    <s v="RBT"/>
    <s v="mkalra(Manoj Kalra)"/>
    <x v="0"/>
    <x v="0"/>
    <x v="0"/>
  </r>
  <r>
    <n v="963"/>
    <x v="0"/>
    <s v="U3400 R6.4 - NIC3"/>
    <s v="004 - Time"/>
    <s v="01 Meter Time synchronisation to NIC - forward within interval (Auto)"/>
    <s v="2-High"/>
    <s v=" "/>
    <d v="2024-10-01T00:00:00"/>
    <d v="1899-12-30T16:14:40"/>
    <s v="Passed"/>
    <s v="Passed"/>
    <s v="mkalra(Manoj Kalra)"/>
    <x v="0"/>
    <x v="1"/>
    <x v="0"/>
  </r>
  <r>
    <n v="153"/>
    <x v="0"/>
    <s v="U3400 R6.4 - NIC3"/>
    <s v="004 - Time"/>
    <s v="02 Meter Time synchronisation to NIC - forward within interval (Force)"/>
    <s v="1-Critical"/>
    <s v=" "/>
    <d v="2024-10-02T00:00:00"/>
    <d v="1899-12-30T11:25:54"/>
    <s v="Passed"/>
    <s v="Passed"/>
    <s v="mkalra(Manoj Kalra)"/>
    <x v="0"/>
    <x v="1"/>
    <x v="0"/>
  </r>
  <r>
    <n v="154"/>
    <x v="0"/>
    <s v="U3400 R6.4 - NIC3"/>
    <s v="004 - Time"/>
    <s v="03 Meter Time synchronisation to NIC - backward within interval (Auto)"/>
    <s v="2-High"/>
    <s v=" "/>
    <d v="2024-10-02T00:00:00"/>
    <d v="1899-12-30T13:43:20"/>
    <s v="Passed"/>
    <s v="Passed"/>
    <s v="mkalra(Manoj Kalra)"/>
    <x v="0"/>
    <x v="1"/>
    <x v="0"/>
  </r>
  <r>
    <n v="158"/>
    <x v="0"/>
    <s v="U3400 R6.4 - NIC3"/>
    <s v="004 - Time"/>
    <s v="04 Meter Time synchronisation to NIC - backward within interval (Force)"/>
    <s v="1-Critical"/>
    <s v=" "/>
    <d v="2024-10-02T00:00:00"/>
    <d v="1899-12-30T14:37:18"/>
    <s v="Passed"/>
    <s v="Passed"/>
    <s v="mkalra(Manoj Kalra)"/>
    <x v="0"/>
    <x v="1"/>
    <x v="0"/>
  </r>
  <r>
    <n v="156"/>
    <x v="0"/>
    <s v="U3400 R6.4 - NIC3"/>
    <s v="004 - Time"/>
    <s v="05 Meter Time synchronisation to NIC - forward crossing interval (Auto)"/>
    <s v="2-High"/>
    <s v=" "/>
    <d v="2024-10-02T00:00:00"/>
    <d v="1899-12-30T15:42:13"/>
    <s v="Passed"/>
    <s v="Passed"/>
    <s v="mkalra(Manoj Kalra)"/>
    <x v="0"/>
    <x v="1"/>
    <x v="0"/>
  </r>
  <r>
    <n v="157"/>
    <x v="0"/>
    <s v="U3400 R6.4 - NIC3"/>
    <s v="004 - Time"/>
    <s v="06 Meter Time synchronisation to NIC - forward crossing interval (Force)"/>
    <s v="2-High"/>
    <s v=" "/>
    <d v="2024-10-03T00:00:00"/>
    <d v="1899-12-30T11:04:09"/>
    <s v="Passed"/>
    <s v="Passed"/>
    <s v="mkalra(Manoj Kalra)"/>
    <x v="0"/>
    <x v="1"/>
    <x v="0"/>
  </r>
  <r>
    <n v="159"/>
    <x v="0"/>
    <s v="U3400 R6.4 - NIC3"/>
    <s v="004 - Time"/>
    <s v="07 Meter Time synchronisation to NIC - backward crossing interval (Auto)"/>
    <s v="2-High"/>
    <s v=" "/>
    <d v="2024-10-14T00:00:00"/>
    <d v="1899-12-30T16:18:25"/>
    <s v="Passed"/>
    <s v="Passed"/>
    <s v="mkalra(Manoj Kalra)"/>
    <x v="0"/>
    <x v="1"/>
    <x v="0"/>
  </r>
  <r>
    <n v="964"/>
    <x v="0"/>
    <s v="U3400 R6.4 - NIC3"/>
    <s v="004 - Time"/>
    <s v="08 Meter Time synchronisation to NIC - backward crossing interval (Force)"/>
    <s v="2-High"/>
    <s v=" "/>
    <d v="2024-10-14T00:00:00"/>
    <d v="1899-12-30T16:19:53"/>
    <s v="Passed"/>
    <s v="Passed"/>
    <s v="mkalra(Manoj Kalra)"/>
    <x v="0"/>
    <x v="1"/>
    <x v="0"/>
  </r>
  <r>
    <n v="963"/>
    <x v="0"/>
    <s v="U1300 R6.4 - NIC3"/>
    <s v="004 - Time"/>
    <s v="01 Meter Time synchronisation to NIC - forward within interval (Auto)"/>
    <s v="2-High"/>
    <s v=" "/>
    <d v="2024-10-11T00:00:00"/>
    <d v="1899-12-30T10:18:41"/>
    <s v="Passed"/>
    <s v="Passed"/>
    <s v="knjuguna(Kamau Njuguna)"/>
    <x v="1"/>
    <x v="1"/>
    <x v="0"/>
  </r>
  <r>
    <n v="153"/>
    <x v="0"/>
    <s v="U1300 R6.4 - NIC3"/>
    <s v="004 - Time"/>
    <s v="02 Meter Time synchronisation to NIC - forward within interval (Force)"/>
    <s v="1-Critical"/>
    <s v=" "/>
    <d v="2024-10-11T00:00:00"/>
    <d v="1899-12-30T11:41:11"/>
    <s v="Passed"/>
    <s v="Passed"/>
    <s v="knjuguna(Kamau Njuguna)"/>
    <x v="1"/>
    <x v="1"/>
    <x v="0"/>
  </r>
  <r>
    <n v="154"/>
    <x v="0"/>
    <s v="U1300 R6.4 - NIC3"/>
    <s v="004 - Time"/>
    <s v="03 Meter Time synchronisation to NIC - backward within interval (Auto)"/>
    <s v="2-High"/>
    <s v=" "/>
    <d v="2024-10-11T00:00:00"/>
    <d v="1899-12-30T14:52:15"/>
    <s v="Passed"/>
    <s v="Passed"/>
    <s v="knjuguna(Kamau Njuguna)"/>
    <x v="1"/>
    <x v="1"/>
    <x v="0"/>
  </r>
  <r>
    <n v="158"/>
    <x v="0"/>
    <s v="U1300 R6.4 - NIC3"/>
    <s v="004 - Time"/>
    <s v="04 Meter Time synchronisation to NIC - backward within interval (Force)"/>
    <s v="1-Critical"/>
    <s v=" "/>
    <d v="2024-10-11T00:00:00"/>
    <d v="1899-12-30T15:48:30"/>
    <s v="Passed"/>
    <s v="Passed"/>
    <s v="knjuguna(Kamau Njuguna)"/>
    <x v="1"/>
    <x v="1"/>
    <x v="0"/>
  </r>
  <r>
    <n v="156"/>
    <x v="0"/>
    <s v="U1300 R6.4 - NIC3"/>
    <s v="004 - Time"/>
    <s v="05 Meter Time synchronisation to NIC - forward crossing interval (Auto)"/>
    <s v="2-High"/>
    <s v=" "/>
    <d v="2024-10-11T00:00:00"/>
    <d v="1899-12-30T17:14:36"/>
    <s v="Passed"/>
    <s v="Passed"/>
    <s v="knjuguna(Kamau Njuguna)"/>
    <x v="1"/>
    <x v="1"/>
    <x v="0"/>
  </r>
  <r>
    <n v="157"/>
    <x v="0"/>
    <s v="U1300 R6.4 - NIC3"/>
    <s v="004 - Time"/>
    <s v="06 Meter Time synchronisation to NIC - forward crossing interval (Force)"/>
    <s v="2-High"/>
    <s v=" "/>
    <d v="2024-10-14T00:00:00"/>
    <d v="1899-12-30T09:57:50"/>
    <s v="Passed"/>
    <s v="Passed"/>
    <s v="knjuguna(Kamau Njuguna)"/>
    <x v="1"/>
    <x v="1"/>
    <x v="0"/>
  </r>
  <r>
    <n v="159"/>
    <x v="0"/>
    <s v="U1300 R6.4 - NIC3"/>
    <s v="004 - Time"/>
    <s v="07 Meter Time synchronisation to NIC - backward crossing interval (Auto)"/>
    <s v="2-High"/>
    <s v=" "/>
    <d v="2024-10-14T00:00:00"/>
    <d v="1899-12-30T11:20:13"/>
    <s v="Passed"/>
    <s v="Passed"/>
    <s v="knjuguna(Kamau Njuguna)"/>
    <x v="1"/>
    <x v="1"/>
    <x v="0"/>
  </r>
  <r>
    <n v="964"/>
    <x v="0"/>
    <s v="U1300 R6.4 - NIC3"/>
    <s v="004 - Time"/>
    <s v="08 Meter Time synchronisation to NIC - backward crossing interval (Force)"/>
    <s v="2-High"/>
    <s v=" "/>
    <d v="2024-10-14T00:00:00"/>
    <d v="1899-12-30T13:11:41"/>
    <s v="Passed"/>
    <s v="Passed"/>
    <s v="knjuguna(Kamau Njuguna)"/>
    <x v="1"/>
    <x v="1"/>
    <x v="0"/>
  </r>
  <r>
    <n v="963"/>
    <x v="0"/>
    <s v="U3400 R6.4 - NIC5"/>
    <s v="004 - Time"/>
    <s v="01 Meter Time synchronisation to NIC - forward within interval (Auto)"/>
    <s v="2-High"/>
    <s v=" "/>
    <d v="2024-10-01T00:00:00"/>
    <d v="1899-12-30T16:14:45"/>
    <s v="Passed"/>
    <s v="Passed"/>
    <s v="mkalra(Manoj Kalra)"/>
    <x v="0"/>
    <x v="1"/>
    <x v="0"/>
  </r>
  <r>
    <n v="153"/>
    <x v="0"/>
    <s v="U3400 R6.4 - NIC5"/>
    <s v="004 - Time"/>
    <s v="02 Meter Time synchronisation to NIC - forward within interval (Force)"/>
    <s v="1-Critical"/>
    <s v=" "/>
    <d v="2024-10-02T00:00:00"/>
    <d v="1899-12-30T11:25:52"/>
    <s v="Passed"/>
    <s v="Passed"/>
    <s v="mkalra(Manoj Kalra)"/>
    <x v="0"/>
    <x v="1"/>
    <x v="0"/>
  </r>
  <r>
    <n v="154"/>
    <x v="0"/>
    <s v="U3400 R6.4 - NIC5"/>
    <s v="004 - Time"/>
    <s v="03 Meter Time synchronisation to NIC - backward within interval (Auto)"/>
    <s v="2-High"/>
    <s v=" "/>
    <d v="2024-10-02T00:00:00"/>
    <d v="1899-12-30T13:43:00"/>
    <s v="Passed"/>
    <s v="Passed"/>
    <s v="mkalra(Manoj Kalra)"/>
    <x v="0"/>
    <x v="1"/>
    <x v="0"/>
  </r>
  <r>
    <n v="158"/>
    <x v="0"/>
    <s v="U3400 R6.4 - NIC5"/>
    <s v="004 - Time"/>
    <s v="04 Meter Time synchronisation to NIC - backward within interval (Force)"/>
    <s v="1-Critical"/>
    <s v=" "/>
    <d v="2024-10-02T00:00:00"/>
    <d v="1899-12-30T14:37:22"/>
    <s v="Passed"/>
    <s v="Passed"/>
    <s v="mkalra(Manoj Kalra)"/>
    <x v="0"/>
    <x v="1"/>
    <x v="0"/>
  </r>
  <r>
    <n v="156"/>
    <x v="0"/>
    <s v="U3400 R6.4 - NIC5"/>
    <s v="004 - Time"/>
    <s v="05 Meter Time synchronisation to NIC - forward crossing interval (Auto)"/>
    <s v="2-High"/>
    <s v=" "/>
    <d v="2024-10-02T00:00:00"/>
    <d v="1899-12-30T15:38:07"/>
    <s v="Passed"/>
    <s v="Passed"/>
    <s v="mkalra(Manoj Kalra)"/>
    <x v="0"/>
    <x v="1"/>
    <x v="0"/>
  </r>
  <r>
    <n v="157"/>
    <x v="0"/>
    <s v="U3400 R6.4 - NIC5"/>
    <s v="004 - Time"/>
    <s v="06 Meter Time synchronisation to NIC - forward crossing interval (Force)"/>
    <s v="2-High"/>
    <s v=" "/>
    <d v="2024-10-03T00:00:00"/>
    <d v="1899-12-30T11:04:12"/>
    <s v="Passed"/>
    <s v="Passed"/>
    <s v="mkalra(Manoj Kalra)"/>
    <x v="0"/>
    <x v="1"/>
    <x v="0"/>
  </r>
  <r>
    <n v="159"/>
    <x v="0"/>
    <s v="U3400 R6.4 - NIC5"/>
    <s v="004 - Time"/>
    <s v="07 Meter Time synchronisation to NIC - backward crossing interval (Auto)"/>
    <s v="2-High"/>
    <s v=" "/>
    <d v="2024-10-14T00:00:00"/>
    <d v="1899-12-30T16:20:58"/>
    <s v="Passed"/>
    <s v="Passed"/>
    <s v="mkalra(Manoj Kalra)"/>
    <x v="0"/>
    <x v="1"/>
    <x v="0"/>
  </r>
  <r>
    <n v="964"/>
    <x v="0"/>
    <s v="U3400 R6.4 - NIC5"/>
    <s v="004 - Time"/>
    <s v="08 Meter Time synchronisation to NIC - backward crossing interval (Force)"/>
    <s v="2-High"/>
    <s v=" "/>
    <d v="2024-10-14T00:00:00"/>
    <d v="1899-12-30T16:21:49"/>
    <s v="Passed"/>
    <s v="Passed"/>
    <s v="mkalra(Manoj Kalra)"/>
    <x v="0"/>
    <x v="1"/>
    <x v="0"/>
  </r>
  <r>
    <n v="963"/>
    <x v="0"/>
    <s v="U1300 R6.4 - NIC5"/>
    <s v="004 - Time"/>
    <s v="01 Meter Time synchronisation to NIC - forward within interval (Auto)"/>
    <s v="2-High"/>
    <s v=" "/>
    <d v="2024-10-11T00:00:00"/>
    <d v="1899-12-30T10:22:49"/>
    <s v="Passed"/>
    <s v="Passed"/>
    <s v="knjuguna(Kamau Njuguna)"/>
    <x v="1"/>
    <x v="1"/>
    <x v="0"/>
  </r>
  <r>
    <n v="153"/>
    <x v="0"/>
    <s v="U1300 R6.4 - NIC5"/>
    <s v="004 - Time"/>
    <s v="02 Meter Time synchronisation to NIC - forward within interval (Force)"/>
    <s v="1-Critical"/>
    <s v=" "/>
    <d v="2024-10-11T00:00:00"/>
    <d v="1899-12-30T11:52:24"/>
    <s v="Passed"/>
    <s v="Passed"/>
    <s v="knjuguna(Kamau Njuguna)"/>
    <x v="1"/>
    <x v="1"/>
    <x v="0"/>
  </r>
  <r>
    <n v="154"/>
    <x v="0"/>
    <s v="U1300 R6.4 - NIC5"/>
    <s v="004 - Time"/>
    <s v="03 Meter Time synchronisation to NIC - backward within interval (Auto)"/>
    <s v="2-High"/>
    <s v=" "/>
    <d v="2024-10-11T00:00:00"/>
    <d v="1899-12-30T14:43:10"/>
    <s v="Passed"/>
    <s v="Passed"/>
    <s v="knjuguna(Kamau Njuguna)"/>
    <x v="1"/>
    <x v="1"/>
    <x v="0"/>
  </r>
  <r>
    <n v="158"/>
    <x v="0"/>
    <s v="U1300 R6.4 - NIC5"/>
    <s v="004 - Time"/>
    <s v="04 Meter Time synchronisation to NIC - backward within interval (Force)"/>
    <s v="1-Critical"/>
    <s v=" "/>
    <d v="2024-10-11T00:00:00"/>
    <d v="1899-12-30T15:51:44"/>
    <s v="Passed"/>
    <s v="Passed"/>
    <s v="knjuguna(Kamau Njuguna)"/>
    <x v="1"/>
    <x v="1"/>
    <x v="0"/>
  </r>
  <r>
    <n v="156"/>
    <x v="0"/>
    <s v="U1300 R6.4 - NIC5"/>
    <s v="004 - Time"/>
    <s v="05 Meter Time synchronisation to NIC - forward crossing interval (Auto)"/>
    <s v="2-High"/>
    <s v=" "/>
    <d v="2024-10-11T00:00:00"/>
    <d v="1899-12-30T17:19:14"/>
    <s v="Passed"/>
    <s v="Passed"/>
    <s v="knjuguna(Kamau Njuguna)"/>
    <x v="1"/>
    <x v="1"/>
    <x v="0"/>
  </r>
  <r>
    <n v="157"/>
    <x v="0"/>
    <s v="U1300 R6.4 - NIC5"/>
    <s v="004 - Time"/>
    <s v="06 Meter Time synchronisation to NIC - forward crossing interval (Force)"/>
    <s v="2-High"/>
    <s v=" "/>
    <d v="2024-10-14T00:00:00"/>
    <d v="1899-12-30T09:59:03"/>
    <s v="Passed"/>
    <s v="Passed"/>
    <s v="knjuguna(Kamau Njuguna)"/>
    <x v="1"/>
    <x v="1"/>
    <x v="0"/>
  </r>
  <r>
    <n v="159"/>
    <x v="0"/>
    <s v="U1300 R6.4 - NIC5"/>
    <s v="004 - Time"/>
    <s v="07 Meter Time synchronisation to NIC - backward crossing interval (Auto)"/>
    <s v="2-High"/>
    <s v=" "/>
    <d v="2024-10-14T00:00:00"/>
    <d v="1899-12-30T11:32:51"/>
    <s v="Passed"/>
    <s v="Passed"/>
    <s v="knjuguna(Kamau Njuguna)"/>
    <x v="1"/>
    <x v="1"/>
    <x v="0"/>
  </r>
  <r>
    <n v="964"/>
    <x v="0"/>
    <s v="U1300 R6.4 - NIC5"/>
    <s v="004 - Time"/>
    <s v="08 Meter Time synchronisation to NIC - backward crossing interval (Force)"/>
    <s v="2-High"/>
    <s v=" "/>
    <d v="2024-10-14T00:00:00"/>
    <d v="1899-12-30T13:15:02"/>
    <s v="Passed"/>
    <s v="Passed"/>
    <s v="knjuguna(Kamau Njuguna)"/>
    <x v="1"/>
    <x v="1"/>
    <x v="0"/>
  </r>
  <r>
    <n v="39"/>
    <x v="0"/>
    <s v="U3400 R6.4 - NIC3"/>
    <s v="007 - Meter Firmware"/>
    <s v="FWU meter firmware upgrade - (seedingpercent) percent seeded - Uninterrupted"/>
    <s v="1-Critical"/>
    <s v=" "/>
    <d v="2024-10-08T00:00:00"/>
    <d v="1899-12-30T10:10:49"/>
    <s v="Failed"/>
    <s v="Failed"/>
    <s v="mkalra(Manoj Kalra)"/>
    <x v="0"/>
    <x v="1"/>
    <x v="0"/>
  </r>
  <r>
    <n v="1703"/>
    <x v="0"/>
    <s v="U3400 R6.4 - NIC3"/>
    <s v="007 - Meter Firmware"/>
    <s v="FWU meter firmware upgrade - (seedingpercent) percent seeded - Interrupted"/>
    <s v="1-Critical"/>
    <s v="This Test is performed on U1300 meter"/>
    <d v="2024-10-14T00:00:00"/>
    <d v="1899-12-30T16:29:03"/>
    <s v="Failed"/>
    <s v="RBT"/>
    <s v="mkalra(Manoj Kalra)"/>
    <x v="0"/>
    <x v="0"/>
    <x v="0"/>
  </r>
  <r>
    <n v="38"/>
    <x v="0"/>
    <s v="U3400 R6.4 - NIC3"/>
    <s v="007 - Meter Firmware"/>
    <s v="Meter firmware audit"/>
    <s v="1-Critical"/>
    <s v=" "/>
    <d v="2024-10-04T00:00:00"/>
    <d v="1899-12-30T09:11:28"/>
    <s v="Passed"/>
    <s v="Passed"/>
    <s v="mkalra(Manoj Kalra)"/>
    <x v="0"/>
    <x v="1"/>
    <x v="0"/>
  </r>
  <r>
    <n v="39"/>
    <x v="0"/>
    <s v="U1300 R6.4 - NIC3"/>
    <s v="007 - Meter Firmware"/>
    <s v="FWU meter firmware upgrade - (seedingpercent) percent seeded - Uninterrupted"/>
    <s v="1-Critical"/>
    <s v=" "/>
    <d v="2024-09-20T00:00:00"/>
    <d v="1899-12-30T11:00:12"/>
    <s v="Failed"/>
    <s v="Failed"/>
    <s v="knjuguna(Kamau Njuguna)"/>
    <x v="1"/>
    <x v="1"/>
    <x v="0"/>
  </r>
  <r>
    <n v="1703"/>
    <x v="0"/>
    <s v="U1300 R6.4 - NIC3"/>
    <s v="007 - Meter Firmware"/>
    <s v="FWU meter firmware upgrade - (seedingpercent) percent seeded - Interrupted"/>
    <s v="1-Critical"/>
    <s v=" "/>
    <d v="2024-10-16T00:00:00"/>
    <d v="1899-12-30T09:32:24"/>
    <s v="Failed"/>
    <s v="Failed"/>
    <s v="knjuguna(Kamau Njuguna)"/>
    <x v="1"/>
    <x v="1"/>
    <x v="0"/>
  </r>
  <r>
    <n v="38"/>
    <x v="0"/>
    <s v="U1300 R6.4 - NIC3"/>
    <s v="007 - Meter Firmware"/>
    <s v="Meter firmware audit"/>
    <s v="1-Critical"/>
    <s v=" "/>
    <d v="2024-09-20T00:00:00"/>
    <d v="1899-12-30T13:19:46"/>
    <s v="Passed"/>
    <s v="Passed"/>
    <s v="knjuguna(Kamau Njuguna)"/>
    <x v="1"/>
    <x v="1"/>
    <x v="0"/>
  </r>
  <r>
    <n v="39"/>
    <x v="0"/>
    <s v="U3400 R6.4 - NIC5"/>
    <s v="007 - Meter Firmware"/>
    <s v="FWU meter firmware upgrade - (seedingpercent) percent seeded - Uninterrupted"/>
    <s v="1-Critical"/>
    <s v=" "/>
    <d v="2024-10-08T00:00:00"/>
    <d v="1899-12-30T10:11:46"/>
    <s v="Failed"/>
    <s v="Failed"/>
    <s v="mkalra(Manoj Kalra)"/>
    <x v="0"/>
    <x v="1"/>
    <x v="0"/>
  </r>
  <r>
    <n v="1703"/>
    <x v="0"/>
    <s v="U3400 R6.4 - NIC5"/>
    <s v="007 - Meter Firmware"/>
    <s v="FWU meter firmware upgrade - (seedingpercent) percent seeded - Interrupted"/>
    <s v="1-Critical"/>
    <s v="This Test is performed on U1300 meter"/>
    <d v="2024-10-15T00:00:00"/>
    <d v="1899-12-30T10:45:37"/>
    <s v="Failed"/>
    <s v="RBT"/>
    <s v="mkalra(Manoj Kalra)"/>
    <x v="0"/>
    <x v="0"/>
    <x v="0"/>
  </r>
  <r>
    <n v="38"/>
    <x v="0"/>
    <s v="U3400 R6.4 - NIC5"/>
    <s v="007 - Meter Firmware"/>
    <s v="Meter firmware audit"/>
    <s v="1-Critical"/>
    <s v=" "/>
    <d v="2024-10-04T00:00:00"/>
    <d v="1899-12-30T09:11:26"/>
    <s v="Passed"/>
    <s v="Passed"/>
    <s v="mkalra(Manoj Kalra)"/>
    <x v="0"/>
    <x v="1"/>
    <x v="0"/>
  </r>
  <r>
    <n v="39"/>
    <x v="0"/>
    <s v="U1300 R6.4 - NIC5"/>
    <s v="007 - Meter Firmware"/>
    <s v="FWU meter firmware upgrade - (seedingpercent) percent seeded - Uninterrupted"/>
    <s v="1-Critical"/>
    <s v=" "/>
    <d v="2024-09-20T00:00:00"/>
    <d v="1899-12-30T11:21:00"/>
    <s v="Failed"/>
    <s v="Failed"/>
    <s v="knjuguna(Kamau Njuguna)"/>
    <x v="1"/>
    <x v="1"/>
    <x v="0"/>
  </r>
  <r>
    <n v="1703"/>
    <x v="0"/>
    <s v="U1300 R6.4 - NIC5"/>
    <s v="007 - Meter Firmware"/>
    <s v="FWU meter firmware upgrade - (seedingpercent) percent seeded - Interrupted"/>
    <s v="1-Critical"/>
    <s v="NIC320 meter has been tested"/>
    <d v="2024-10-15T00:00:00"/>
    <d v="1899-12-30T11:51:33"/>
    <s v="Failed"/>
    <s v="RBT"/>
    <s v="knjuguna(Kamau Njuguna)"/>
    <x v="1"/>
    <x v="0"/>
    <x v="0"/>
  </r>
  <r>
    <n v="38"/>
    <x v="0"/>
    <s v="U1300 R6.4 - NIC5"/>
    <s v="007 - Meter Firmware"/>
    <s v="Meter firmware audit"/>
    <s v="1-Critical"/>
    <s v=" "/>
    <d v="2024-09-20T00:00:00"/>
    <d v="1899-12-30T15:01:17"/>
    <s v="Passed"/>
    <s v="Passed"/>
    <s v="knjuguna(Kamau Njuguna)"/>
    <x v="1"/>
    <x v="1"/>
    <x v="0"/>
  </r>
  <r>
    <n v="41"/>
    <x v="0"/>
    <s v="U3400 R6.4 - NIC3"/>
    <s v="008 - Meter Program"/>
    <s v="Meter Program -  Remote 1 - Load a full meter program (New Meter Program in UIQ)"/>
    <s v="1-Critical"/>
    <s v=" "/>
    <d v="2024-10-07T00:00:00"/>
    <d v="1899-12-30T15:36:34"/>
    <s v="Not Completed"/>
    <s v="Passed"/>
    <s v="mkalra(Manoj Kalra)"/>
    <x v="0"/>
    <x v="1"/>
    <x v="0"/>
  </r>
  <r>
    <n v="42"/>
    <x v="0"/>
    <s v="U3400 R6.4 - NIC3"/>
    <s v="008 - Meter Program"/>
    <s v="Meter Program -  Remote 4 - Load a full meter program (Meter Program exists in UIQ)"/>
    <s v="1-Critical"/>
    <s v=" "/>
    <d v="2024-10-08T00:00:00"/>
    <d v="1899-12-30T17:48:59"/>
    <s v="Passed"/>
    <s v="Passed"/>
    <s v="mkalra(Manoj Kalra)"/>
    <x v="0"/>
    <x v="1"/>
    <x v="0"/>
  </r>
  <r>
    <n v="61"/>
    <x v="0"/>
    <s v="U3400 R6.4 - NIC3"/>
    <s v="008 - Meter Program"/>
    <s v="Meter Program -  export events"/>
    <s v="1-Critical"/>
    <s v=" "/>
    <d v="2024-09-30T00:00:00"/>
    <d v="1899-12-30T13:45:39"/>
    <s v="Not Completed"/>
    <s v="Passed"/>
    <s v="mkalra(Manoj Kalra)"/>
    <x v="0"/>
    <x v="1"/>
    <x v="0"/>
  </r>
  <r>
    <n v="40"/>
    <x v="0"/>
    <s v="U3400 R6.4 - NIC3"/>
    <s v="008 - Meter Program"/>
    <s v="Meter program audit"/>
    <s v="1-Critical"/>
    <s v=" "/>
    <d v="2024-10-07T00:00:00"/>
    <d v="1899-12-30T16:00:21"/>
    <s v="Passed"/>
    <s v="Passed"/>
    <s v="mkalra(Manoj Kalra)"/>
    <x v="0"/>
    <x v="1"/>
    <x v="0"/>
  </r>
  <r>
    <n v="41"/>
    <x v="0"/>
    <s v="U1300 R6.4 - NIC3"/>
    <s v="008 - Meter Program"/>
    <s v="Meter Program -  Remote 1 - Load a full meter program (New Meter Program in UIQ)"/>
    <s v="1-Critical"/>
    <s v=" "/>
    <d v="2024-10-03T00:00:00"/>
    <d v="1899-12-30T14:48:56"/>
    <s v="Not Completed"/>
    <s v="Failed"/>
    <s v="knjuguna(Kamau Njuguna)"/>
    <x v="1"/>
    <x v="1"/>
    <x v="0"/>
  </r>
  <r>
    <n v="42"/>
    <x v="0"/>
    <s v="U1300 R6.4 - NIC3"/>
    <s v="008 - Meter Program"/>
    <s v="Meter Program -  Remote 4 - Load a full meter program (Meter Program exists in UIQ)"/>
    <s v="1-Critical"/>
    <s v=" "/>
    <d v="2024-10-03T00:00:00"/>
    <d v="1899-12-30T15:58:35"/>
    <s v="Passed"/>
    <s v="Failed"/>
    <s v="knjuguna(Kamau Njuguna)"/>
    <x v="1"/>
    <x v="1"/>
    <x v="0"/>
  </r>
  <r>
    <n v="61"/>
    <x v="0"/>
    <s v="U1300 R6.4 - NIC3"/>
    <s v="008 - Meter Program"/>
    <s v="Meter Program -  export events"/>
    <s v="1-Critical"/>
    <s v=" "/>
    <d v="2024-10-14T00:00:00"/>
    <d v="1899-12-30T13:38:35"/>
    <s v="Not Completed"/>
    <s v="Not Completed"/>
    <s v="knjuguna(Kamau Njuguna)"/>
    <x v="1"/>
    <x v="1"/>
    <x v="1"/>
  </r>
  <r>
    <n v="40"/>
    <x v="0"/>
    <s v="U1300 R6.4 - NIC3"/>
    <s v="008 - Meter Program"/>
    <s v="Meter program audit"/>
    <s v="1-Critical"/>
    <s v=" "/>
    <d v="2024-10-01T00:00:00"/>
    <d v="1899-12-30T16:41:49"/>
    <s v="Passed"/>
    <s v="Failed"/>
    <s v="knjuguna(Kamau Njuguna)"/>
    <x v="1"/>
    <x v="1"/>
    <x v="0"/>
  </r>
  <r>
    <n v="41"/>
    <x v="0"/>
    <s v="U3400 R6.4 - NIC5"/>
    <s v="008 - Meter Program"/>
    <s v="Meter Program -  Remote 1 - Load a full meter program (New Meter Program in UIQ)"/>
    <s v="1-Critical"/>
    <s v=" "/>
    <d v="2024-10-07T00:00:00"/>
    <d v="1899-12-30T15:07:21"/>
    <s v="Not Completed"/>
    <s v="Passed"/>
    <s v="mkalra(Manoj Kalra)"/>
    <x v="0"/>
    <x v="1"/>
    <x v="0"/>
  </r>
  <r>
    <n v="42"/>
    <x v="0"/>
    <s v="U3400 R6.4 - NIC5"/>
    <s v="008 - Meter Program"/>
    <s v="Meter Program -  Remote 4 - Load a full meter program (Meter Program exists in UIQ)"/>
    <s v="1-Critical"/>
    <s v=" "/>
    <d v="2024-10-08T00:00:00"/>
    <d v="1899-12-30T17:49:01"/>
    <s v="Passed"/>
    <s v="Passed"/>
    <s v="mkalra(Manoj Kalra)"/>
    <x v="0"/>
    <x v="1"/>
    <x v="0"/>
  </r>
  <r>
    <n v="61"/>
    <x v="0"/>
    <s v="U3400 R6.4 - NIC5"/>
    <s v="008 - Meter Program"/>
    <s v="Meter Program -  export events"/>
    <s v="1-Critical"/>
    <s v=" "/>
    <d v="2024-09-30T00:00:00"/>
    <d v="1899-12-30T13:34:27"/>
    <s v="Not Completed"/>
    <s v="Passed"/>
    <s v="mkalra(Manoj Kalra)"/>
    <x v="0"/>
    <x v="1"/>
    <x v="0"/>
  </r>
  <r>
    <n v="40"/>
    <x v="0"/>
    <s v="U3400 R6.4 - NIC5"/>
    <s v="008 - Meter Program"/>
    <s v="Meter program audit"/>
    <s v="1-Critical"/>
    <s v=" "/>
    <d v="2024-10-07T00:00:00"/>
    <d v="1899-12-30T16:00:18"/>
    <s v="Passed"/>
    <s v="Passed"/>
    <s v="mkalra(Manoj Kalra)"/>
    <x v="0"/>
    <x v="1"/>
    <x v="0"/>
  </r>
  <r>
    <n v="41"/>
    <x v="0"/>
    <s v="U1300 R6.4 - NIC5"/>
    <s v="008 - Meter Program"/>
    <s v="Meter Program -  Remote 1 - Load a full meter program (New Meter Program in UIQ)"/>
    <s v="1-Critical"/>
    <s v=" "/>
    <d v="2024-10-03T00:00:00"/>
    <d v="1899-12-30T14:40:54"/>
    <s v="Not Completed"/>
    <s v="Failed"/>
    <s v="knjuguna(Kamau Njuguna)"/>
    <x v="1"/>
    <x v="1"/>
    <x v="0"/>
  </r>
  <r>
    <n v="42"/>
    <x v="0"/>
    <s v="U1300 R6.4 - NIC5"/>
    <s v="008 - Meter Program"/>
    <s v="Meter Program -  Remote 4 - Load a full meter program (Meter Program exists in UIQ)"/>
    <s v="1-Critical"/>
    <s v=" "/>
    <d v="2024-10-03T00:00:00"/>
    <d v="1899-12-30T16:31:50"/>
    <s v="Passed"/>
    <s v="Failed"/>
    <s v="knjuguna(Kamau Njuguna)"/>
    <x v="1"/>
    <x v="1"/>
    <x v="0"/>
  </r>
  <r>
    <n v="61"/>
    <x v="0"/>
    <s v="U1300 R6.4 - NIC5"/>
    <s v="008 - Meter Program"/>
    <s v="Meter Program -  export events"/>
    <s v="1-Critical"/>
    <s v=" "/>
    <d v="2024-10-15T00:00:00"/>
    <d v="1899-12-30T15:42:55"/>
    <s v="Not Completed"/>
    <s v="Not Completed"/>
    <s v="knjuguna(Kamau Njuguna)"/>
    <x v="1"/>
    <x v="1"/>
    <x v="1"/>
  </r>
  <r>
    <n v="40"/>
    <x v="0"/>
    <s v="U1300 R6.4 - NIC5"/>
    <s v="008 - Meter Program"/>
    <s v="Meter program audit"/>
    <s v="1-Critical"/>
    <s v=" "/>
    <d v="2024-10-01T00:00:00"/>
    <d v="1899-12-30T16:43:43"/>
    <s v="Passed"/>
    <s v="Failed"/>
    <s v="knjuguna(Kamau Njuguna)"/>
    <x v="1"/>
    <x v="1"/>
    <x v="0"/>
  </r>
  <r>
    <n v="141"/>
    <x v="0"/>
    <s v="U3400 R6.4 - NIC5"/>
    <s v="008 - Meter Program"/>
    <s v="Meter Program -  NIC program seal"/>
    <s v="1-Critical"/>
    <s v=" "/>
    <d v="2024-09-30T00:00:00"/>
    <d v="1899-12-30T10:32:25"/>
    <s v="Passed"/>
    <s v="Passed"/>
    <s v="mkalra(Manoj Kalra)"/>
    <x v="0"/>
    <x v="1"/>
    <x v="0"/>
  </r>
  <r>
    <n v="141"/>
    <x v="0"/>
    <s v="U1300 R6.4 - NIC3"/>
    <s v="008 - Meter Program"/>
    <s v="Meter Program -  NIC program seal"/>
    <s v="1-Critical"/>
    <s v=" "/>
    <d v="2024-10-09T00:00:00"/>
    <d v="1899-12-30T15:55:26"/>
    <s v="Passed"/>
    <s v="Passed"/>
    <s v="knjuguna(Kamau Njuguna)"/>
    <x v="1"/>
    <x v="1"/>
    <x v="0"/>
  </r>
  <r>
    <n v="141"/>
    <x v="0"/>
    <s v="U1300 R6.4 - NIC5"/>
    <s v="008 - Meter Program"/>
    <s v="Meter Program -  NIC program seal"/>
    <s v="1-Critical"/>
    <s v=" "/>
    <d v="2024-10-09T00:00:00"/>
    <d v="1899-12-30T16:00:15"/>
    <s v="Passed"/>
    <s v="Passed"/>
    <s v="knjuguna(Kamau Njuguna)"/>
    <x v="1"/>
    <x v="1"/>
    <x v="0"/>
  </r>
  <r>
    <n v="141"/>
    <x v="0"/>
    <s v="U3400 R6.4 - NIC3"/>
    <s v="008 - Meter Program"/>
    <s v="Meter Program -  NIC program seal"/>
    <s v="1-Critical"/>
    <s v=" "/>
    <d v="2024-09-30T00:00:00"/>
    <d v="1899-12-30T10:32:21"/>
    <s v="Passed"/>
    <s v="Passed"/>
    <s v="mkalra(Manoj Kalra)"/>
    <x v="0"/>
    <x v="1"/>
    <x v="0"/>
  </r>
  <r>
    <n v="140"/>
    <x v="0"/>
    <s v="U3400 R6.4 - NIC5"/>
    <s v="008 - Meter Program"/>
    <s v="Meter Program -  Partial programming (Remote)"/>
    <s v="1-Critical"/>
    <s v=" "/>
    <d v="2024-09-24T00:00:00"/>
    <d v="1899-12-30T17:17:01"/>
    <s v="RBT"/>
    <s v="RBT"/>
    <s v="mkalra(Manoj Kalra)"/>
    <x v="0"/>
    <x v="0"/>
    <x v="0"/>
  </r>
  <r>
    <n v="140"/>
    <x v="0"/>
    <s v="U3400 R6.4 - NIC3"/>
    <s v="008 - Meter Program"/>
    <s v="Meter Program -  Partial programming (Remote)"/>
    <s v="1-Critical"/>
    <s v=" "/>
    <d v="2024-09-24T00:00:00"/>
    <d v="1899-12-30T17:16:10"/>
    <s v="RBT"/>
    <s v="RBT"/>
    <s v="mkalra(Manoj Kalra)"/>
    <x v="0"/>
    <x v="0"/>
    <x v="0"/>
  </r>
  <r>
    <n v="140"/>
    <x v="0"/>
    <s v="U1300 R6.4 - NIC5"/>
    <s v="008 - Meter Program"/>
    <s v="Meter Program -  Partial programming (Remote)"/>
    <s v="1-Critical"/>
    <s v=" "/>
    <d v="2024-09-24T00:00:00"/>
    <d v="1899-12-30T17:14:49"/>
    <s v="RBT"/>
    <s v="RBT"/>
    <s v="mkalra(Manoj Kalra)"/>
    <x v="1"/>
    <x v="0"/>
    <x v="0"/>
  </r>
  <r>
    <n v="140"/>
    <x v="0"/>
    <s v="U1300 R6.4 - NIC3"/>
    <s v="008 - Meter Program"/>
    <s v="Meter Program -  Partial programming (Remote)"/>
    <s v="1-Critical"/>
    <s v=" "/>
    <d v="2024-09-24T00:00:00"/>
    <d v="1899-12-30T17:14:19"/>
    <s v="RBT"/>
    <s v="RBT"/>
    <s v="mkalra(Manoj Kalra)"/>
    <x v="1"/>
    <x v="0"/>
    <x v="0"/>
  </r>
  <r>
    <n v="1770"/>
    <x v="0"/>
    <s v="U1300 R6.4 - NIC3"/>
    <s v="008A - Meter Program Tests"/>
    <s v="L&amp;G_LP_Enable"/>
    <s v="3-Medium"/>
    <s v=" "/>
    <d v="2024-10-10T00:00:00"/>
    <d v="1899-12-30T16:00:22"/>
    <s v="Not Completed"/>
    <s v="Passed"/>
    <s v="knjuguna(Kamau Njuguna)"/>
    <x v="1"/>
    <x v="1"/>
    <x v="0"/>
  </r>
  <r>
    <n v="1770"/>
    <x v="0"/>
    <s v="U1300 R6.4 - NIC5"/>
    <s v="008A - Meter Program Tests"/>
    <s v="L&amp;G_LP_Enable"/>
    <s v="3-Medium"/>
    <s v=" "/>
    <d v="2024-10-10T00:00:00"/>
    <d v="1899-12-30T16:00:35"/>
    <s v="Not Completed"/>
    <s v="Passed"/>
    <s v="knjuguna(Kamau Njuguna)"/>
    <x v="1"/>
    <x v="1"/>
    <x v="0"/>
  </r>
  <r>
    <n v="1770"/>
    <x v="0"/>
    <s v="U3400 R6.4 - NIC3"/>
    <s v="008A - Meter Program Tests"/>
    <s v="L&amp;G_LP_Enable"/>
    <s v="3-Medium"/>
    <s v=" "/>
    <d v="2024-10-14T00:00:00"/>
    <d v="1899-12-30T16:17:10"/>
    <s v="Not Completed"/>
    <s v="Passed"/>
    <s v="mkalra(Manoj Kalra)"/>
    <x v="0"/>
    <x v="1"/>
    <x v="0"/>
  </r>
  <r>
    <n v="1770"/>
    <x v="0"/>
    <s v="U3400 R6.4 - NIC5"/>
    <s v="008A - Meter Program Tests"/>
    <s v="L&amp;G_LP_Enable"/>
    <s v="3-Medium"/>
    <s v=" "/>
    <d v="2024-09-26T00:00:00"/>
    <d v="1899-12-30T14:17:00"/>
    <s v="Not Completed"/>
    <s v="Passed"/>
    <s v="mkalra(Manoj Kalra)"/>
    <x v="0"/>
    <x v="1"/>
    <x v="0"/>
  </r>
  <r>
    <n v="111"/>
    <x v="0"/>
    <s v="U3400 R6.4 - NIC3"/>
    <s v="009 - Metrology"/>
    <s v="Meter Accuracy"/>
    <s v="1-Critical"/>
    <s v="Report from L&amp;G is used for this test."/>
    <d v="2024-10-14T00:00:00"/>
    <d v="1899-12-30T10:58:19"/>
    <s v="Deferred"/>
    <s v="Deferred"/>
    <s v="mkalra(Manoj Kalra)"/>
    <x v="0"/>
    <x v="1"/>
    <x v="2"/>
  </r>
  <r>
    <n v="1709"/>
    <x v="0"/>
    <s v="U3400 R6.4 - NIC3"/>
    <s v="009 - Metrology"/>
    <s v="Meter Data Integrity - Meter to UIQ (Full)"/>
    <s v="1-Critical"/>
    <s v=" "/>
    <d v="2024-10-11T00:00:00"/>
    <d v="1899-12-30T14:50:14"/>
    <s v="Passed"/>
    <s v="Passed"/>
    <s v="mkalra(Manoj Kalra)"/>
    <x v="0"/>
    <x v="1"/>
    <x v="0"/>
  </r>
  <r>
    <n v="66"/>
    <x v="0"/>
    <s v="U3400 R6.4 - NIC3"/>
    <s v="009 - Metrology"/>
    <s v="AMM - On Demand Read - C1219 Read"/>
    <s v="1-Critical"/>
    <s v=" "/>
    <d v="2024-09-25T00:00:00"/>
    <d v="1899-12-30T14:02:41"/>
    <s v="Passed"/>
    <s v="Passed"/>
    <s v="mkalra(Manoj Kalra)"/>
    <x v="0"/>
    <x v="1"/>
    <x v="0"/>
  </r>
  <r>
    <n v="63"/>
    <x v="0"/>
    <s v="U3400 R6.4 - NIC3"/>
    <s v="009 - Metrology"/>
    <s v="AMM - On Demand Read - Interval"/>
    <s v="1-Critical"/>
    <s v=" "/>
    <d v="2024-09-25T00:00:00"/>
    <d v="1899-12-30T14:15:11"/>
    <s v="Passed"/>
    <s v="Passed"/>
    <s v="mkalra(Manoj Kalra)"/>
    <x v="0"/>
    <x v="1"/>
    <x v="0"/>
  </r>
  <r>
    <n v="62"/>
    <x v="0"/>
    <s v="U3400 R6.4 - NIC3"/>
    <s v="009 - Metrology"/>
    <s v="AMM - On Demand Read - New Data"/>
    <s v="1-Critical"/>
    <s v=" "/>
    <d v="2024-09-25T00:00:00"/>
    <d v="1899-12-30T15:53:04"/>
    <s v="Passed"/>
    <s v="Passed"/>
    <s v="mkalra(Manoj Kalra)"/>
    <x v="0"/>
    <x v="1"/>
    <x v="0"/>
  </r>
  <r>
    <n v="64"/>
    <x v="0"/>
    <s v="U3400 R6.4 - NIC3"/>
    <s v="009 - Metrology"/>
    <s v="AMM - On Demand Read - Register"/>
    <s v="1-Critical"/>
    <s v=" "/>
    <d v="2024-09-25T00:00:00"/>
    <d v="1899-12-30T17:08:37"/>
    <s v="Passed"/>
    <s v="Passed"/>
    <s v="mkalra(Manoj Kalra)"/>
    <x v="0"/>
    <x v="1"/>
    <x v="0"/>
  </r>
  <r>
    <n v="65"/>
    <x v="0"/>
    <s v="U3400 R6.4 - NIC3"/>
    <s v="009 - Metrology"/>
    <s v="AMM - On Demand Read - Stored Self Read"/>
    <s v="1-Critical"/>
    <s v=" "/>
    <d v="2024-09-26T00:00:00"/>
    <d v="1899-12-30T10:32:35"/>
    <s v="Passed"/>
    <s v="Passed"/>
    <s v="mkalra(Manoj Kalra)"/>
    <x v="0"/>
    <x v="1"/>
    <x v="0"/>
  </r>
  <r>
    <n v="59"/>
    <x v="0"/>
    <s v="U3400 R6.4 - NIC3"/>
    <s v="009 - Metrology"/>
    <s v="Meter Data Integrity -  AMM export"/>
    <s v="1-Critical"/>
    <s v=" "/>
    <d v="2024-10-14T00:00:00"/>
    <d v="1899-12-30T12:52:56"/>
    <s v="Passed"/>
    <s v="Passed"/>
    <s v="mkalra(Manoj Kalra)"/>
    <x v="0"/>
    <x v="1"/>
    <x v="0"/>
  </r>
  <r>
    <n v="58"/>
    <x v="0"/>
    <s v="U3400 R6.4 - NIC3"/>
    <s v="009 - Metrology"/>
    <s v="Meter Data Integrity -  EBQK"/>
    <s v="1-Critical"/>
    <s v="MOG group will be doing this test for R64"/>
    <d v="2024-10-15T00:00:00"/>
    <d v="1899-12-30T11:02:40"/>
    <s v="RBT"/>
    <s v="RBT"/>
    <s v="mkalra(Manoj Kalra)"/>
    <x v="0"/>
    <x v="0"/>
    <x v="0"/>
  </r>
  <r>
    <n v="111"/>
    <x v="0"/>
    <s v="U1300 R6.4 - NIC3"/>
    <s v="009 - Metrology"/>
    <s v="Meter Accuracy"/>
    <s v="1-Critical"/>
    <s v=" "/>
    <d v="2024-10-16T00:00:00"/>
    <d v="1899-12-30T15:37:48"/>
    <s v="Deferred"/>
    <s v="Not Completed"/>
    <s v="knjuguna(Kamau Njuguna)"/>
    <x v="1"/>
    <x v="1"/>
    <x v="1"/>
  </r>
  <r>
    <n v="1709"/>
    <x v="0"/>
    <s v="U1300 R6.4 - NIC3"/>
    <s v="009 - Metrology"/>
    <s v="Meter Data Integrity - Meter to UIQ (Full)"/>
    <s v="1-Critical"/>
    <s v=" "/>
    <d v="2024-10-01T00:00:00"/>
    <d v="1899-12-30T13:51:42"/>
    <s v="Passed"/>
    <s v="Passed"/>
    <s v="knjuguna(Kamau Njuguna)"/>
    <x v="1"/>
    <x v="1"/>
    <x v="0"/>
  </r>
  <r>
    <n v="66"/>
    <x v="0"/>
    <s v="U1300 R6.4 - NIC3"/>
    <s v="009 - Metrology"/>
    <s v="AMM - On Demand Read - C1219 Read"/>
    <s v="1-Critical"/>
    <s v=" "/>
    <d v="2024-09-24T00:00:00"/>
    <d v="1899-12-30T08:37:39"/>
    <s v="Passed"/>
    <s v="Passed"/>
    <s v="knjuguna(Kamau Njuguna)"/>
    <x v="1"/>
    <x v="1"/>
    <x v="0"/>
  </r>
  <r>
    <n v="63"/>
    <x v="0"/>
    <s v="U1300 R6.4 - NIC3"/>
    <s v="009 - Metrology"/>
    <s v="AMM - On Demand Read - Interval"/>
    <s v="1-Critical"/>
    <s v=" "/>
    <d v="2024-09-24T00:00:00"/>
    <d v="1899-12-30T08:42:20"/>
    <s v="Passed"/>
    <s v="Passed"/>
    <s v="knjuguna(Kamau Njuguna)"/>
    <x v="1"/>
    <x v="1"/>
    <x v="0"/>
  </r>
  <r>
    <n v="62"/>
    <x v="0"/>
    <s v="U1300 R6.4 - NIC3"/>
    <s v="009 - Metrology"/>
    <s v="AMM - On Demand Read - New Data"/>
    <s v="1-Critical"/>
    <s v=" "/>
    <d v="2024-09-24T00:00:00"/>
    <d v="1899-12-30T09:14:33"/>
    <s v="Passed"/>
    <s v="Passed"/>
    <s v="knjuguna(Kamau Njuguna)"/>
    <x v="1"/>
    <x v="1"/>
    <x v="0"/>
  </r>
  <r>
    <n v="64"/>
    <x v="0"/>
    <s v="U1300 R6.4 - NIC3"/>
    <s v="009 - Metrology"/>
    <s v="AMM - On Demand Read - Register"/>
    <s v="1-Critical"/>
    <s v=" "/>
    <d v="2024-09-24T00:00:00"/>
    <d v="1899-12-30T09:21:47"/>
    <s v="Passed"/>
    <s v="Passed"/>
    <s v="knjuguna(Kamau Njuguna)"/>
    <x v="1"/>
    <x v="1"/>
    <x v="0"/>
  </r>
  <r>
    <n v="65"/>
    <x v="0"/>
    <s v="U1300 R6.4 - NIC3"/>
    <s v="009 - Metrology"/>
    <s v="AMM - On Demand Read - Stored Self Read"/>
    <s v="1-Critical"/>
    <s v=" "/>
    <d v="2024-09-24T00:00:00"/>
    <d v="1899-12-30T10:16:12"/>
    <s v="Passed"/>
    <s v="Passed"/>
    <s v="knjuguna(Kamau Njuguna)"/>
    <x v="1"/>
    <x v="1"/>
    <x v="0"/>
  </r>
  <r>
    <n v="59"/>
    <x v="0"/>
    <s v="U1300 R6.4 - NIC3"/>
    <s v="009 - Metrology"/>
    <s v="Meter Data Integrity -  AMM export"/>
    <s v="1-Critical"/>
    <s v=" "/>
    <d v="2024-10-07T00:00:00"/>
    <d v="1899-12-30T10:39:19"/>
    <s v="Passed"/>
    <s v="Passed"/>
    <s v="knjuguna(Kamau Njuguna)"/>
    <x v="1"/>
    <x v="1"/>
    <x v="0"/>
  </r>
  <r>
    <n v="58"/>
    <x v="0"/>
    <s v="U1300 R6.4 - NIC3"/>
    <s v="009 - Metrology"/>
    <s v="Meter Data Integrity -  EBQK"/>
    <s v="1-Critical"/>
    <s v="To be covered under meter accuracy test"/>
    <d v="2024-10-15T00:00:00"/>
    <d v="1899-12-30T11:55:24"/>
    <s v="RBT"/>
    <s v="RBT"/>
    <s v="knjuguna(Kamau Njuguna)"/>
    <x v="1"/>
    <x v="0"/>
    <x v="0"/>
  </r>
  <r>
    <n v="111"/>
    <x v="0"/>
    <s v="U3400 R6.4 - NIC5"/>
    <s v="009 - Metrology"/>
    <s v="Meter Accuracy"/>
    <s v="1-Critical"/>
    <s v="Report from L&amp;G is used for this test."/>
    <d v="2024-10-14T00:00:00"/>
    <d v="1899-12-30T10:58:26"/>
    <s v="Deferred"/>
    <s v="Deferred"/>
    <s v="mkalra(Manoj Kalra)"/>
    <x v="0"/>
    <x v="1"/>
    <x v="2"/>
  </r>
  <r>
    <n v="1709"/>
    <x v="0"/>
    <s v="U3400 R6.4 - NIC5"/>
    <s v="009 - Metrology"/>
    <s v="Meter Data Integrity - Meter to UIQ (Full)"/>
    <s v="1-Critical"/>
    <s v=" "/>
    <d v="2024-10-11T00:00:00"/>
    <d v="1899-12-30T15:02:59"/>
    <s v="Passed"/>
    <s v="Passed"/>
    <s v="mkalra(Manoj Kalra)"/>
    <x v="0"/>
    <x v="1"/>
    <x v="0"/>
  </r>
  <r>
    <n v="66"/>
    <x v="0"/>
    <s v="U3400 R6.4 - NIC5"/>
    <s v="009 - Metrology"/>
    <s v="AMM - On Demand Read - C1219 Read"/>
    <s v="1-Critical"/>
    <s v=" "/>
    <d v="2024-09-25T00:00:00"/>
    <d v="1899-12-30T14:02:46"/>
    <s v="Passed"/>
    <s v="Passed"/>
    <s v="mkalra(Manoj Kalra)"/>
    <x v="0"/>
    <x v="1"/>
    <x v="0"/>
  </r>
  <r>
    <n v="63"/>
    <x v="0"/>
    <s v="U3400 R6.4 - NIC5"/>
    <s v="009 - Metrology"/>
    <s v="AMM - On Demand Read - Interval"/>
    <s v="1-Critical"/>
    <s v=" "/>
    <d v="2024-09-25T00:00:00"/>
    <d v="1899-12-30T14:15:14"/>
    <s v="Passed"/>
    <s v="Passed"/>
    <s v="mkalra(Manoj Kalra)"/>
    <x v="0"/>
    <x v="1"/>
    <x v="0"/>
  </r>
  <r>
    <n v="62"/>
    <x v="0"/>
    <s v="U3400 R6.4 - NIC5"/>
    <s v="009 - Metrology"/>
    <s v="AMM - On Demand Read - New Data"/>
    <s v="1-Critical"/>
    <s v=" "/>
    <d v="2024-09-25T00:00:00"/>
    <d v="1899-12-30T15:53:08"/>
    <s v="Passed"/>
    <s v="Passed"/>
    <s v="mkalra(Manoj Kalra)"/>
    <x v="0"/>
    <x v="1"/>
    <x v="0"/>
  </r>
  <r>
    <n v="64"/>
    <x v="0"/>
    <s v="U3400 R6.4 - NIC5"/>
    <s v="009 - Metrology"/>
    <s v="AMM - On Demand Read - Register"/>
    <s v="1-Critical"/>
    <s v=" "/>
    <d v="2024-09-25T00:00:00"/>
    <d v="1899-12-30T17:07:16"/>
    <s v="Passed"/>
    <s v="Passed"/>
    <s v="mkalra(Manoj Kalra)"/>
    <x v="0"/>
    <x v="1"/>
    <x v="0"/>
  </r>
  <r>
    <n v="65"/>
    <x v="0"/>
    <s v="U3400 R6.4 - NIC5"/>
    <s v="009 - Metrology"/>
    <s v="AMM - On Demand Read - Stored Self Read"/>
    <s v="1-Critical"/>
    <s v=" "/>
    <d v="2024-09-26T00:00:00"/>
    <d v="1899-12-30T10:33:47"/>
    <s v="Passed"/>
    <s v="Passed"/>
    <s v="mkalra(Manoj Kalra)"/>
    <x v="0"/>
    <x v="1"/>
    <x v="0"/>
  </r>
  <r>
    <n v="59"/>
    <x v="0"/>
    <s v="U3400 R6.4 - NIC5"/>
    <s v="009 - Metrology"/>
    <s v="Meter Data Integrity -  AMM export"/>
    <s v="1-Critical"/>
    <s v=" "/>
    <d v="2024-10-14T00:00:00"/>
    <d v="1899-12-30T12:34:26"/>
    <s v="Passed"/>
    <s v="Passed"/>
    <s v="mkalra(Manoj Kalra)"/>
    <x v="0"/>
    <x v="1"/>
    <x v="0"/>
  </r>
  <r>
    <n v="58"/>
    <x v="0"/>
    <s v="U3400 R6.4 - NIC5"/>
    <s v="009 - Metrology"/>
    <s v="Meter Data Integrity -  EBQK"/>
    <s v="1-Critical"/>
    <s v="MOG group will be doing this test for R64"/>
    <d v="2024-10-15T00:00:00"/>
    <d v="1899-12-30T10:49:12"/>
    <s v="RBT"/>
    <s v="Deferred"/>
    <s v="mkalra(Manoj Kalra)"/>
    <x v="0"/>
    <x v="1"/>
    <x v="2"/>
  </r>
  <r>
    <n v="111"/>
    <x v="0"/>
    <s v="U1300 R6.4 - NIC5"/>
    <s v="009 - Metrology"/>
    <s v="Meter Accuracy"/>
    <s v="1-Critical"/>
    <s v=" "/>
    <d v="2024-10-15T00:00:00"/>
    <d v="1899-12-30T11:53:33"/>
    <s v="Deferred"/>
    <s v="Deferred"/>
    <s v="knjuguna(Kamau Njuguna)"/>
    <x v="1"/>
    <x v="1"/>
    <x v="2"/>
  </r>
  <r>
    <n v="1709"/>
    <x v="0"/>
    <s v="U1300 R6.4 - NIC5"/>
    <s v="009 - Metrology"/>
    <s v="Meter Data Integrity - Meter to UIQ (Full)"/>
    <s v="1-Critical"/>
    <s v=" "/>
    <d v="2024-10-15T00:00:00"/>
    <d v="1899-12-30T15:21:28"/>
    <s v="Passed"/>
    <s v="Passed"/>
    <s v="knjuguna(Kamau Njuguna)"/>
    <x v="1"/>
    <x v="1"/>
    <x v="0"/>
  </r>
  <r>
    <n v="66"/>
    <x v="0"/>
    <s v="U1300 R6.4 - NIC5"/>
    <s v="009 - Metrology"/>
    <s v="AMM - On Demand Read - C1219 Read"/>
    <s v="1-Critical"/>
    <s v=" "/>
    <d v="2024-09-30T00:00:00"/>
    <d v="1899-12-30T13:39:18"/>
    <s v="Passed"/>
    <s v="Passed"/>
    <s v="knjuguna(Kamau Njuguna)"/>
    <x v="1"/>
    <x v="1"/>
    <x v="0"/>
  </r>
  <r>
    <n v="63"/>
    <x v="0"/>
    <s v="U1300 R6.4 - NIC5"/>
    <s v="009 - Metrology"/>
    <s v="AMM - On Demand Read - Interval"/>
    <s v="1-Critical"/>
    <s v=" "/>
    <d v="2024-09-30T00:00:00"/>
    <d v="1899-12-30T13:45:25"/>
    <s v="Passed"/>
    <s v="Passed"/>
    <s v="knjuguna(Kamau Njuguna)"/>
    <x v="1"/>
    <x v="1"/>
    <x v="0"/>
  </r>
  <r>
    <n v="62"/>
    <x v="0"/>
    <s v="U1300 R6.4 - NIC5"/>
    <s v="009 - Metrology"/>
    <s v="AMM - On Demand Read - New Data"/>
    <s v="1-Critical"/>
    <s v=" "/>
    <d v="2024-09-30T00:00:00"/>
    <d v="1899-12-30T14:28:14"/>
    <s v="Passed"/>
    <s v="Passed"/>
    <s v="knjuguna(Kamau Njuguna)"/>
    <x v="1"/>
    <x v="1"/>
    <x v="0"/>
  </r>
  <r>
    <n v="64"/>
    <x v="0"/>
    <s v="U1300 R6.4 - NIC5"/>
    <s v="009 - Metrology"/>
    <s v="AMM - On Demand Read - Register"/>
    <s v="1-Critical"/>
    <s v=" "/>
    <d v="2024-09-30T00:00:00"/>
    <d v="1899-12-30T14:29:53"/>
    <s v="Passed"/>
    <s v="Passed"/>
    <s v="knjuguna(Kamau Njuguna)"/>
    <x v="1"/>
    <x v="1"/>
    <x v="0"/>
  </r>
  <r>
    <n v="65"/>
    <x v="0"/>
    <s v="U1300 R6.4 - NIC5"/>
    <s v="009 - Metrology"/>
    <s v="AMM - On Demand Read - Stored Self Read"/>
    <s v="1-Critical"/>
    <s v=" "/>
    <d v="2024-09-30T00:00:00"/>
    <d v="1899-12-30T14:34:10"/>
    <s v="Passed"/>
    <s v="Passed"/>
    <s v="knjuguna(Kamau Njuguna)"/>
    <x v="1"/>
    <x v="1"/>
    <x v="0"/>
  </r>
  <r>
    <n v="59"/>
    <x v="0"/>
    <s v="U1300 R6.4 - NIC5"/>
    <s v="009 - Metrology"/>
    <s v="Meter Data Integrity -  AMM export"/>
    <s v="1-Critical"/>
    <s v=" "/>
    <d v="2024-10-07T00:00:00"/>
    <d v="1899-12-30T11:14:36"/>
    <s v="Passed"/>
    <s v="Passed"/>
    <s v="knjuguna(Kamau Njuguna)"/>
    <x v="1"/>
    <x v="1"/>
    <x v="0"/>
  </r>
  <r>
    <n v="58"/>
    <x v="0"/>
    <s v="U1300 R6.4 - NIC5"/>
    <s v="009 - Metrology"/>
    <s v="Meter Data Integrity -  EBQK"/>
    <s v="1-Critical"/>
    <s v="Test to be covered under meter accuracy test"/>
    <d v="2024-10-15T00:00:00"/>
    <d v="1899-12-30T11:53:28"/>
    <s v="RBT"/>
    <s v="RBT"/>
    <s v="knjuguna(Kamau Njuguna)"/>
    <x v="1"/>
    <x v="0"/>
    <x v="0"/>
  </r>
  <r>
    <n v="1710"/>
    <x v="0"/>
    <s v="U1300 R6.4 - NIC3"/>
    <s v="009 - Metrology"/>
    <s v="Meter Data Integrity - Meter to UIQ (Sanity)"/>
    <s v="1-Critical"/>
    <s v=" "/>
    <d v="2024-10-10T00:00:00"/>
    <d v="1899-12-30T10:07:57"/>
    <s v="Passed"/>
    <s v="Passed"/>
    <s v="knjuguna(Kamau Njuguna)"/>
    <x v="1"/>
    <x v="1"/>
    <x v="0"/>
  </r>
  <r>
    <n v="1710"/>
    <x v="0"/>
    <s v="U1300 R6.4 - NIC5"/>
    <s v="009 - Metrology"/>
    <s v="Meter Data Integrity - Meter to UIQ (Sanity)"/>
    <s v="1-Critical"/>
    <s v=" "/>
    <d v="2024-10-10T00:00:00"/>
    <d v="1899-12-30T11:31:09"/>
    <s v="Passed"/>
    <s v="Passed"/>
    <s v="knjuguna(Kamau Njuguna)"/>
    <x v="1"/>
    <x v="1"/>
    <x v="0"/>
  </r>
  <r>
    <n v="1710"/>
    <x v="0"/>
    <s v="U3400 R6.4 - NIC3"/>
    <s v="009 - Metrology"/>
    <s v="Meter Data Integrity - Meter to UIQ (Sanity)"/>
    <s v="1-Critical"/>
    <s v=" "/>
    <d v="2024-10-11T00:00:00"/>
    <d v="1899-12-30T12:09:02"/>
    <s v="Passed"/>
    <s v="Passed"/>
    <s v="mkalra(Manoj Kalra)"/>
    <x v="0"/>
    <x v="1"/>
    <x v="0"/>
  </r>
  <r>
    <n v="1710"/>
    <x v="0"/>
    <s v="U3400 R6.4 - NIC5"/>
    <s v="009 - Metrology"/>
    <s v="Meter Data Integrity - Meter to UIQ (Sanity)"/>
    <s v="1-Critical"/>
    <s v=" "/>
    <d v="2024-10-11T00:00:00"/>
    <d v="1899-12-30T12:08:50"/>
    <s v="Passed"/>
    <s v="Passed"/>
    <s v="mkalra(Manoj Kalra)"/>
    <x v="0"/>
    <x v="1"/>
    <x v="0"/>
  </r>
  <r>
    <n v="33"/>
    <x v="0"/>
    <s v="U1300 R6.4 - NIC3"/>
    <s v="009 - Metrology"/>
    <s v="AMM - On Demand Read - NIC Event Log"/>
    <s v="1-Critical"/>
    <s v=" "/>
    <d v="2024-10-09T00:00:00"/>
    <d v="1899-12-30T16:10:58"/>
    <s v="Passed"/>
    <s v="Passed"/>
    <s v="knjuguna(Kamau Njuguna)"/>
    <x v="1"/>
    <x v="1"/>
    <x v="0"/>
  </r>
  <r>
    <n v="33"/>
    <x v="0"/>
    <s v="U1300 R6.4 - NIC5"/>
    <s v="009 - Metrology"/>
    <s v="AMM - On Demand Read - NIC Event Log"/>
    <s v="1-Critical"/>
    <s v=" "/>
    <d v="2024-10-09T00:00:00"/>
    <d v="1899-12-30T16:11:42"/>
    <s v="Passed"/>
    <s v="Passed"/>
    <s v="knjuguna(Kamau Njuguna)"/>
    <x v="1"/>
    <x v="1"/>
    <x v="0"/>
  </r>
  <r>
    <n v="33"/>
    <x v="0"/>
    <s v="U3400 R6.4 - NIC3"/>
    <s v="009 - Metrology"/>
    <s v="AMM - On Demand Read - NIC Event Log"/>
    <s v="1-Critical"/>
    <s v=" "/>
    <d v="2024-09-26T00:00:00"/>
    <d v="1899-12-30T11:03:28"/>
    <s v="Passed"/>
    <s v="Passed"/>
    <s v="mkalra(Manoj Kalra)"/>
    <x v="0"/>
    <x v="1"/>
    <x v="0"/>
  </r>
  <r>
    <n v="33"/>
    <x v="0"/>
    <s v="U3400 R6.4 - NIC5"/>
    <s v="009 - Metrology"/>
    <s v="AMM - On Demand Read - NIC Event Log"/>
    <s v="1-Critical"/>
    <s v=" "/>
    <d v="2024-09-26T00:00:00"/>
    <d v="1899-12-30T11:04:11"/>
    <s v="Passed"/>
    <s v="Passed"/>
    <s v="mkalra(Manoj Kalra)"/>
    <x v="0"/>
    <x v="1"/>
    <x v="0"/>
  </r>
  <r>
    <n v="60"/>
    <x v="0"/>
    <s v="U1300 R6.4 - NIC3"/>
    <s v="009 - Metrology"/>
    <s v="Meter display -  register resolution"/>
    <s v="3-Medium"/>
    <s v=" "/>
    <d v="2024-10-07T00:00:00"/>
    <d v="1899-12-30T16:32:46"/>
    <s v="Passed"/>
    <s v="Passed"/>
    <s v="knjuguna(Kamau Njuguna)"/>
    <x v="1"/>
    <x v="1"/>
    <x v="0"/>
  </r>
  <r>
    <n v="60"/>
    <x v="0"/>
    <s v="U1300 R6.4 - NIC5"/>
    <s v="009 - Metrology"/>
    <s v="Meter display -  register resolution"/>
    <s v="3-Medium"/>
    <s v=" "/>
    <d v="2024-10-07T00:00:00"/>
    <d v="1899-12-30T16:33:47"/>
    <s v="Passed"/>
    <s v="Passed"/>
    <s v="knjuguna(Kamau Njuguna)"/>
    <x v="1"/>
    <x v="1"/>
    <x v="0"/>
  </r>
  <r>
    <n v="60"/>
    <x v="0"/>
    <s v="U3400 R6.4 - NIC3"/>
    <s v="009 - Metrology"/>
    <s v="Meter display -  register resolution"/>
    <s v="3-Medium"/>
    <s v=" "/>
    <d v="2024-10-07T00:00:00"/>
    <d v="1899-12-30T12:16:25"/>
    <s v="Passed"/>
    <s v="Passed"/>
    <s v="mkalra(Manoj Kalra)"/>
    <x v="0"/>
    <x v="1"/>
    <x v="0"/>
  </r>
  <r>
    <n v="60"/>
    <x v="0"/>
    <s v="U3400 R6.4 - NIC5"/>
    <s v="009 - Metrology"/>
    <s v="Meter display -  register resolution"/>
    <s v="3-Medium"/>
    <s v=" "/>
    <d v="2024-10-07T00:00:00"/>
    <d v="1899-12-30T12:15:52"/>
    <s v="Passed"/>
    <s v="Passed"/>
    <s v="mkalra(Manoj Kalra)"/>
    <x v="0"/>
    <x v="1"/>
    <x v="0"/>
  </r>
  <r>
    <n v="144"/>
    <x v="0"/>
    <s v="U3400 R6.4 - NIC3"/>
    <s v="010 - Supply Contactor"/>
    <s v="Meter supply contactor - Arm Remotely"/>
    <s v="3-Medium"/>
    <s v=" "/>
    <d v="2024-10-07T00:00:00"/>
    <d v="1899-12-30T16:03:40"/>
    <s v="N/A"/>
    <s v="N/A"/>
    <s v="mkalra(Manoj Kalra)"/>
    <x v="0"/>
    <x v="2"/>
    <x v="3"/>
  </r>
  <r>
    <n v="69"/>
    <x v="0"/>
    <s v="U3400 R6.4 - NIC3"/>
    <s v="010 - Supply Contactor"/>
    <s v="Meter supply contactor - Remote Lockout"/>
    <s v="1-Critical"/>
    <s v=" "/>
    <d v="2024-09-30T00:00:00"/>
    <d v="1899-12-30T16:15:12"/>
    <s v="Passed"/>
    <s v="Passed"/>
    <s v="mkalra(Manoj Kalra)"/>
    <x v="0"/>
    <x v="1"/>
    <x v="0"/>
  </r>
  <r>
    <n v="68"/>
    <x v="0"/>
    <s v="U3400 R6.4 - NIC3"/>
    <s v="010 - Supply Contactor"/>
    <s v="Meter supply contactor connect disconnect - local"/>
    <s v="1-Critical"/>
    <s v=" "/>
    <d v="2024-09-30T00:00:00"/>
    <d v="1899-12-30T17:12:38"/>
    <s v="Passed"/>
    <s v="Passed"/>
    <s v="mkalra(Manoj Kalra)"/>
    <x v="0"/>
    <x v="1"/>
    <x v="0"/>
  </r>
  <r>
    <n v="67"/>
    <x v="0"/>
    <s v="U3400 R6.4 - NIC3"/>
    <s v="010 - Supply Contactor"/>
    <s v="Meter supply contactor connect disconnect - remote"/>
    <s v="1-Critical"/>
    <s v=" "/>
    <d v="2024-09-30T00:00:00"/>
    <d v="1899-12-30T17:29:00"/>
    <s v="Passed"/>
    <s v="Passed"/>
    <s v="mkalra(Manoj Kalra)"/>
    <x v="0"/>
    <x v="1"/>
    <x v="0"/>
  </r>
  <r>
    <n v="144"/>
    <x v="0"/>
    <s v="U1300 R6.4 - NIC3"/>
    <s v="010 - Supply Contactor"/>
    <s v="Meter supply contactor - Arm Remotely"/>
    <s v="3-Medium"/>
    <s v=" "/>
    <d v="2024-10-10T00:00:00"/>
    <d v="1899-12-30T08:40:52"/>
    <s v="N/A"/>
    <s v="N/A"/>
    <s v="knjuguna(Kamau Njuguna)"/>
    <x v="1"/>
    <x v="2"/>
    <x v="3"/>
  </r>
  <r>
    <n v="69"/>
    <x v="0"/>
    <s v="U1300 R6.4 - NIC3"/>
    <s v="010 - Supply Contactor"/>
    <s v="Meter supply contactor - Remote Lockout"/>
    <s v="1-Critical"/>
    <s v=" "/>
    <d v="2024-10-07T00:00:00"/>
    <d v="1899-12-30T13:30:18"/>
    <s v="Passed"/>
    <s v="Passed"/>
    <s v="knjuguna(Kamau Njuguna)"/>
    <x v="1"/>
    <x v="1"/>
    <x v="0"/>
  </r>
  <r>
    <n v="68"/>
    <x v="0"/>
    <s v="U1300 R6.4 - NIC3"/>
    <s v="010 - Supply Contactor"/>
    <s v="Meter supply contactor connect disconnect - local"/>
    <s v="1-Critical"/>
    <s v=" "/>
    <d v="2024-10-03T00:00:00"/>
    <d v="1899-12-30T16:40:16"/>
    <s v="Passed"/>
    <s v="Passed"/>
    <s v="knjuguna(Kamau Njuguna)"/>
    <x v="1"/>
    <x v="1"/>
    <x v="0"/>
  </r>
  <r>
    <n v="67"/>
    <x v="0"/>
    <s v="U1300 R6.4 - NIC3"/>
    <s v="010 - Supply Contactor"/>
    <s v="Meter supply contactor connect disconnect - remote"/>
    <s v="1-Critical"/>
    <s v=" "/>
    <d v="2024-10-03T00:00:00"/>
    <d v="1899-12-30T15:18:56"/>
    <s v="Passed"/>
    <s v="Passed"/>
    <s v="knjuguna(Kamau Njuguna)"/>
    <x v="1"/>
    <x v="1"/>
    <x v="0"/>
  </r>
  <r>
    <n v="144"/>
    <x v="0"/>
    <s v="U3400 R6.4 - NIC5"/>
    <s v="010 - Supply Contactor"/>
    <s v="Meter supply contactor - Arm Remotely"/>
    <s v="3-Medium"/>
    <s v=" "/>
    <d v="2024-10-07T00:00:00"/>
    <d v="1899-12-30T16:04:37"/>
    <s v="N/A"/>
    <s v="N/A"/>
    <s v="mkalra(Manoj Kalra)"/>
    <x v="0"/>
    <x v="2"/>
    <x v="3"/>
  </r>
  <r>
    <n v="69"/>
    <x v="0"/>
    <s v="U3400 R6.4 - NIC5"/>
    <s v="010 - Supply Contactor"/>
    <s v="Meter supply contactor - Remote Lockout"/>
    <s v="1-Critical"/>
    <s v=" "/>
    <d v="2024-09-30T00:00:00"/>
    <d v="1899-12-30T16:15:16"/>
    <s v="Passed"/>
    <s v="Passed"/>
    <s v="mkalra(Manoj Kalra)"/>
    <x v="0"/>
    <x v="1"/>
    <x v="0"/>
  </r>
  <r>
    <n v="68"/>
    <x v="0"/>
    <s v="U3400 R6.4 - NIC5"/>
    <s v="010 - Supply Contactor"/>
    <s v="Meter supply contactor connect disconnect - local"/>
    <s v="1-Critical"/>
    <s v=" "/>
    <d v="2024-09-30T00:00:00"/>
    <d v="1899-12-30T17:11:37"/>
    <s v="Passed"/>
    <s v="Passed"/>
    <s v="mkalra(Manoj Kalra)"/>
    <x v="0"/>
    <x v="1"/>
    <x v="0"/>
  </r>
  <r>
    <n v="67"/>
    <x v="0"/>
    <s v="U3400 R6.4 - NIC5"/>
    <s v="010 - Supply Contactor"/>
    <s v="Meter supply contactor connect disconnect - remote"/>
    <s v="1-Critical"/>
    <s v=" "/>
    <d v="2024-09-30T00:00:00"/>
    <d v="1899-12-30T17:28:55"/>
    <s v="Passed"/>
    <s v="Passed"/>
    <s v="mkalra(Manoj Kalra)"/>
    <x v="0"/>
    <x v="1"/>
    <x v="0"/>
  </r>
  <r>
    <n v="144"/>
    <x v="0"/>
    <s v="U1300 R6.4 - NIC5"/>
    <s v="010 - Supply Contactor"/>
    <s v="Meter supply contactor - Arm Remotely"/>
    <s v="3-Medium"/>
    <s v="Not applicable to L&amp;G meters"/>
    <d v="2024-10-15T00:00:00"/>
    <d v="1899-12-30T11:54:13"/>
    <s v="N/A"/>
    <s v="N/A"/>
    <s v="knjuguna(Kamau Njuguna)"/>
    <x v="1"/>
    <x v="2"/>
    <x v="3"/>
  </r>
  <r>
    <n v="69"/>
    <x v="0"/>
    <s v="U1300 R6.4 - NIC5"/>
    <s v="010 - Supply Contactor"/>
    <s v="Meter supply contactor - Remote Lockout"/>
    <s v="1-Critical"/>
    <s v=" "/>
    <d v="2024-10-07T00:00:00"/>
    <d v="1899-12-30T15:08:57"/>
    <s v="Passed"/>
    <s v="Passed"/>
    <s v="knjuguna(Kamau Njuguna)"/>
    <x v="1"/>
    <x v="1"/>
    <x v="0"/>
  </r>
  <r>
    <n v="68"/>
    <x v="0"/>
    <s v="U1300 R6.4 - NIC5"/>
    <s v="010 - Supply Contactor"/>
    <s v="Meter supply contactor connect disconnect - local"/>
    <s v="1-Critical"/>
    <s v=" "/>
    <d v="2024-10-03T00:00:00"/>
    <d v="1899-12-30T16:43:21"/>
    <s v="Passed"/>
    <s v="Passed"/>
    <s v="knjuguna(Kamau Njuguna)"/>
    <x v="1"/>
    <x v="1"/>
    <x v="0"/>
  </r>
  <r>
    <n v="67"/>
    <x v="0"/>
    <s v="U1300 R6.4 - NIC5"/>
    <s v="010 - Supply Contactor"/>
    <s v="Meter supply contactor connect disconnect - remote"/>
    <s v="1-Critical"/>
    <s v=" "/>
    <d v="2024-10-03T00:00:00"/>
    <d v="1899-12-30T15:24:22"/>
    <s v="Passed"/>
    <s v="Passed"/>
    <s v="knjuguna(Kamau Njuguna)"/>
    <x v="1"/>
    <x v="1"/>
    <x v="0"/>
  </r>
  <r>
    <n v="71"/>
    <x v="0"/>
    <s v="U3400 R6.4 - NIC3"/>
    <s v="011 - Auto-Disconnection"/>
    <s v="Auto-Disconnect - Disabled"/>
    <s v="1-Critical"/>
    <s v=" "/>
    <d v="2024-10-01T00:00:00"/>
    <d v="1899-12-30T10:07:03"/>
    <s v="Passed"/>
    <s v="Passed"/>
    <s v="mkalra(Manoj Kalra)"/>
    <x v="0"/>
    <x v="1"/>
    <x v="0"/>
  </r>
  <r>
    <n v="70"/>
    <x v="0"/>
    <s v="U3400 R6.4 - NIC3"/>
    <s v="011 - Auto-Disconnection"/>
    <s v="Auto-Disconnect - Enabled"/>
    <s v="1-Critical"/>
    <s v=" "/>
    <d v="2024-10-01T00:00:00"/>
    <d v="1899-12-30T12:13:23"/>
    <s v="Passed"/>
    <s v="Passed"/>
    <s v="mkalra(Manoj Kalra)"/>
    <x v="0"/>
    <x v="1"/>
    <x v="0"/>
  </r>
  <r>
    <n v="185"/>
    <x v="0"/>
    <s v="U3400 R6.4 - NIC3"/>
    <s v="011 - Auto-Disconnection"/>
    <s v="Auto-Disconnect - Override For NAP (L+G)"/>
    <s v="2-High"/>
    <s v=" "/>
    <d v="2024-10-01T00:00:00"/>
    <d v="1899-12-30T12:58:20"/>
    <s v="Passed"/>
    <s v="Passed"/>
    <s v="mkalra(Manoj Kalra)"/>
    <x v="0"/>
    <x v="1"/>
    <x v="0"/>
  </r>
  <r>
    <n v="89"/>
    <x v="0"/>
    <s v="U3400 R6.4 - NIC3"/>
    <s v="011 - Auto-Disconnection"/>
    <s v="Auto-Disconnect - Remote Lockout"/>
    <s v="4-Low"/>
    <s v=" "/>
    <d v="2024-10-01T00:00:00"/>
    <d v="1899-12-30T13:21:58"/>
    <s v="Passed"/>
    <s v="Passed"/>
    <s v="mkalra(Manoj Kalra)"/>
    <x v="0"/>
    <x v="1"/>
    <x v="0"/>
  </r>
  <r>
    <n v="71"/>
    <x v="0"/>
    <s v="U1300 R6.4 - NIC3"/>
    <s v="011 - Auto-Disconnection"/>
    <s v="Auto-Disconnect - Disabled"/>
    <s v="1-Critical"/>
    <s v=" "/>
    <d v="2024-10-04T00:00:00"/>
    <d v="1899-12-30T09:37:27"/>
    <s v="Passed"/>
    <s v="Passed"/>
    <s v="knjuguna(Kamau Njuguna)"/>
    <x v="1"/>
    <x v="1"/>
    <x v="0"/>
  </r>
  <r>
    <n v="70"/>
    <x v="0"/>
    <s v="U1300 R6.4 - NIC3"/>
    <s v="011 - Auto-Disconnection"/>
    <s v="Auto-Disconnect - Enabled"/>
    <s v="1-Critical"/>
    <s v=" "/>
    <d v="2024-10-04T00:00:00"/>
    <d v="1899-12-30T08:56:38"/>
    <s v="Passed"/>
    <s v="Passed"/>
    <s v="knjuguna(Kamau Njuguna)"/>
    <x v="1"/>
    <x v="1"/>
    <x v="0"/>
  </r>
  <r>
    <n v="185"/>
    <x v="0"/>
    <s v="U1300 R6.4 - NIC3"/>
    <s v="011 - Auto-Disconnection"/>
    <s v="Auto-Disconnect - Override For NAP (L+G)"/>
    <s v="2-High"/>
    <s v=" "/>
    <d v="2024-10-04T00:00:00"/>
    <d v="1899-12-30T10:50:11"/>
    <s v="Passed"/>
    <s v="Passed"/>
    <s v="knjuguna(Kamau Njuguna)"/>
    <x v="1"/>
    <x v="1"/>
    <x v="0"/>
  </r>
  <r>
    <n v="89"/>
    <x v="0"/>
    <s v="U1300 R6.4 - NIC3"/>
    <s v="011 - Auto-Disconnection"/>
    <s v="Auto-Disconnect - Remote Lockout"/>
    <s v="4-Low"/>
    <s v=" "/>
    <d v="2024-10-04T00:00:00"/>
    <d v="1899-12-30T11:03:36"/>
    <s v="Passed"/>
    <s v="Passed"/>
    <s v="knjuguna(Kamau Njuguna)"/>
    <x v="1"/>
    <x v="1"/>
    <x v="0"/>
  </r>
  <r>
    <n v="71"/>
    <x v="0"/>
    <s v="U3400 R6.4 - NIC5"/>
    <s v="011 - Auto-Disconnection"/>
    <s v="Auto-Disconnect - Disabled"/>
    <s v="1-Critical"/>
    <s v=" "/>
    <d v="2024-10-01T00:00:00"/>
    <d v="1899-12-30T10:07:00"/>
    <s v="Passed"/>
    <s v="Passed"/>
    <s v="mkalra(Manoj Kalra)"/>
    <x v="0"/>
    <x v="1"/>
    <x v="0"/>
  </r>
  <r>
    <n v="70"/>
    <x v="0"/>
    <s v="U3400 R6.4 - NIC5"/>
    <s v="011 - Auto-Disconnection"/>
    <s v="Auto-Disconnect - Enabled"/>
    <s v="1-Critical"/>
    <s v=" "/>
    <d v="2024-10-01T00:00:00"/>
    <d v="1899-12-30T12:58:43"/>
    <s v="Passed"/>
    <s v="Passed"/>
    <s v="mkalra(Manoj Kalra)"/>
    <x v="0"/>
    <x v="1"/>
    <x v="0"/>
  </r>
  <r>
    <n v="185"/>
    <x v="0"/>
    <s v="U3400 R6.4 - NIC5"/>
    <s v="011 - Auto-Disconnection"/>
    <s v="Auto-Disconnect - Override For NAP (L+G)"/>
    <s v="2-High"/>
    <s v=" "/>
    <d v="2024-10-01T00:00:00"/>
    <d v="1899-12-30T12:58:22"/>
    <s v="Passed"/>
    <s v="Passed"/>
    <s v="mkalra(Manoj Kalra)"/>
    <x v="0"/>
    <x v="1"/>
    <x v="0"/>
  </r>
  <r>
    <n v="89"/>
    <x v="0"/>
    <s v="U3400 R6.4 - NIC5"/>
    <s v="011 - Auto-Disconnection"/>
    <s v="Auto-Disconnect - Remote Lockout"/>
    <s v="4-Low"/>
    <s v=" "/>
    <d v="2024-10-01T00:00:00"/>
    <d v="1899-12-30T13:21:51"/>
    <s v="Passed"/>
    <s v="Passed"/>
    <s v="mkalra(Manoj Kalra)"/>
    <x v="0"/>
    <x v="1"/>
    <x v="0"/>
  </r>
  <r>
    <n v="71"/>
    <x v="0"/>
    <s v="U1300 R6.4 - NIC5"/>
    <s v="011 - Auto-Disconnection"/>
    <s v="Auto-Disconnect - Disabled"/>
    <s v="1-Critical"/>
    <s v=" "/>
    <d v="2024-10-04T00:00:00"/>
    <d v="1899-12-30T09:43:50"/>
    <s v="Passed"/>
    <s v="Passed"/>
    <s v="knjuguna(Kamau Njuguna)"/>
    <x v="1"/>
    <x v="1"/>
    <x v="0"/>
  </r>
  <r>
    <n v="70"/>
    <x v="0"/>
    <s v="U1300 R6.4 - NIC5"/>
    <s v="011 - Auto-Disconnection"/>
    <s v="Auto-Disconnect - Enabled"/>
    <s v="1-Critical"/>
    <s v=" "/>
    <d v="2024-10-04T00:00:00"/>
    <d v="1899-12-30T08:58:28"/>
    <s v="Passed"/>
    <s v="Passed"/>
    <s v="knjuguna(Kamau Njuguna)"/>
    <x v="1"/>
    <x v="1"/>
    <x v="0"/>
  </r>
  <r>
    <n v="185"/>
    <x v="0"/>
    <s v="U1300 R6.4 - NIC5"/>
    <s v="011 - Auto-Disconnection"/>
    <s v="Auto-Disconnect - Override For NAP (L+G)"/>
    <s v="2-High"/>
    <s v=" "/>
    <d v="2024-10-04T00:00:00"/>
    <d v="1899-12-30T10:50:19"/>
    <s v="Passed"/>
    <s v="Passed"/>
    <s v="knjuguna(Kamau Njuguna)"/>
    <x v="1"/>
    <x v="1"/>
    <x v="0"/>
  </r>
  <r>
    <n v="89"/>
    <x v="0"/>
    <s v="U1300 R6.4 - NIC5"/>
    <s v="011 - Auto-Disconnection"/>
    <s v="Auto-Disconnect - Remote Lockout"/>
    <s v="4-Low"/>
    <s v=" "/>
    <d v="2024-10-04T00:00:00"/>
    <d v="1899-12-30T11:10:04"/>
    <s v="Passed"/>
    <s v="Passed"/>
    <s v="knjuguna(Kamau Njuguna)"/>
    <x v="1"/>
    <x v="1"/>
    <x v="0"/>
  </r>
  <r>
    <n v="74"/>
    <x v="0"/>
    <s v="U3400 R6.4 - NIC3"/>
    <s v="012 - Load Contactor"/>
    <s v="Meter load contactor - remote override (close)"/>
    <s v="1-Critical"/>
    <s v=" "/>
    <d v="2024-09-20T00:00:00"/>
    <d v="1899-12-30T09:55:07"/>
    <s v="Passed"/>
    <s v="Passed"/>
    <s v="mkalra(Manoj Kalra)"/>
    <x v="0"/>
    <x v="1"/>
    <x v="0"/>
  </r>
  <r>
    <n v="73"/>
    <x v="0"/>
    <s v="U3400 R6.4 - NIC3"/>
    <s v="012 - Load Contactor"/>
    <s v="Meter load contactor - remote override (open)"/>
    <s v="1-Critical"/>
    <s v=" "/>
    <d v="2024-09-20T00:00:00"/>
    <d v="1899-12-30T11:03:11"/>
    <s v="Failed"/>
    <s v="Failed"/>
    <s v="mkalra(Manoj Kalra)"/>
    <x v="0"/>
    <x v="1"/>
    <x v="0"/>
  </r>
  <r>
    <n v="75"/>
    <x v="0"/>
    <s v="U3400 R6.4 - NIC3"/>
    <s v="012 - Load Contactor"/>
    <s v="Meter load contactor - switching schedule 5-on-5-off"/>
    <s v="1-Critical"/>
    <s v=" "/>
    <d v="2024-10-07T00:00:00"/>
    <d v="1899-12-30T10:22:34"/>
    <s v="Passed"/>
    <s v="Passed"/>
    <s v="mkalra(Manoj Kalra)"/>
    <x v="0"/>
    <x v="1"/>
    <x v="0"/>
  </r>
  <r>
    <n v="122"/>
    <x v="0"/>
    <s v="U3400 R6.4 - NIC3"/>
    <s v="012 - Load Contactor"/>
    <s v="Boost Primacy - Boost time longer than LC override"/>
    <s v="2-High"/>
    <s v=" "/>
    <d v="2024-10-03T00:00:00"/>
    <d v="1899-12-30T16:18:25"/>
    <s v="Passed"/>
    <s v="Passed"/>
    <s v="mkalra(Manoj Kalra)"/>
    <x v="0"/>
    <x v="1"/>
    <x v="0"/>
  </r>
  <r>
    <n v="123"/>
    <x v="0"/>
    <s v="U3400 R6.4 - NIC3"/>
    <s v="012 - Load Contactor"/>
    <s v="Boost Primacy - Disabled"/>
    <s v="2-High"/>
    <s v=" "/>
    <d v="2024-09-20T00:00:00"/>
    <d v="1899-12-30T13:20:24"/>
    <s v="Passed"/>
    <s v="Passed"/>
    <s v="mkalra(Manoj Kalra)"/>
    <x v="0"/>
    <x v="1"/>
    <x v="0"/>
  </r>
  <r>
    <n v="1725"/>
    <x v="0"/>
    <s v="U3400 R6.4 - NIC3"/>
    <s v="012 - Load Contactor"/>
    <s v="Boost Primacy - Enable-Disable"/>
    <s v="2-High"/>
    <s v=" "/>
    <d v="2024-09-20T00:00:00"/>
    <d v="1899-12-30T15:00:07"/>
    <s v="Failed"/>
    <s v="Failed"/>
    <s v="mkalra(Manoj Kalra)"/>
    <x v="0"/>
    <x v="1"/>
    <x v="0"/>
  </r>
  <r>
    <n v="90"/>
    <x v="0"/>
    <s v="U3400 R6.4 - NIC3"/>
    <s v="012 - Load Contactor"/>
    <s v="Boost operation - Disabled"/>
    <s v="2-High"/>
    <s v=" "/>
    <d v="2024-09-24T00:00:00"/>
    <d v="1899-12-30T09:38:15"/>
    <s v="Passed"/>
    <s v="Passed"/>
    <s v="mkalra(Manoj Kalra)"/>
    <x v="0"/>
    <x v="1"/>
    <x v="0"/>
  </r>
  <r>
    <n v="76"/>
    <x v="0"/>
    <s v="U3400 R6.4 - NIC3"/>
    <s v="012 - Load Contactor"/>
    <s v="Boost operation - Enabled - Boost (Boost Duration) minutes"/>
    <s v="1-Critical"/>
    <s v=" "/>
    <d v="2024-09-24T00:00:00"/>
    <d v="1899-12-30T12:36:32"/>
    <s v="Passed"/>
    <s v="Passed"/>
    <s v="mkalra(Manoj Kalra)"/>
    <x v="0"/>
    <x v="1"/>
    <x v="0"/>
  </r>
  <r>
    <n v="74"/>
    <x v="0"/>
    <s v="U1300 R6.4 - NIC3"/>
    <s v="012 - Load Contactor"/>
    <s v="Meter load contactor - remote override (close)"/>
    <s v="1-Critical"/>
    <s v=" "/>
    <d v="2024-09-20T00:00:00"/>
    <d v="1899-12-30T14:10:39"/>
    <s v="Passed"/>
    <s v="Passed"/>
    <s v="knjuguna(Kamau Njuguna)"/>
    <x v="1"/>
    <x v="1"/>
    <x v="0"/>
  </r>
  <r>
    <n v="73"/>
    <x v="0"/>
    <s v="U1300 R6.4 - NIC3"/>
    <s v="012 - Load Contactor"/>
    <s v="Meter load contactor - remote override (open)"/>
    <s v="1-Critical"/>
    <s v=" "/>
    <d v="2024-09-20T00:00:00"/>
    <d v="1899-12-30T14:50:34"/>
    <s v="Failed"/>
    <s v="Failed"/>
    <s v="knjuguna(Kamau Njuguna)"/>
    <x v="1"/>
    <x v="1"/>
    <x v="0"/>
  </r>
  <r>
    <n v="75"/>
    <x v="0"/>
    <s v="U1300 R6.4 - NIC3"/>
    <s v="012 - Load Contactor"/>
    <s v="Meter load contactor - switching schedule 5-on-5-off"/>
    <s v="1-Critical"/>
    <s v=" "/>
    <d v="2024-09-23T00:00:00"/>
    <d v="1899-12-30T09:04:19"/>
    <s v="Passed"/>
    <s v="Passed"/>
    <s v="knjuguna(Kamau Njuguna)"/>
    <x v="1"/>
    <x v="1"/>
    <x v="0"/>
  </r>
  <r>
    <n v="122"/>
    <x v="0"/>
    <s v="U1300 R6.4 - NIC3"/>
    <s v="012 - Load Contactor"/>
    <s v="Boost Primacy - Boost time longer than LC override"/>
    <s v="2-High"/>
    <s v=" "/>
    <d v="2024-10-04T00:00:00"/>
    <d v="1899-12-30T14:38:00"/>
    <s v="Passed"/>
    <s v="Passed"/>
    <s v="knjuguna(Kamau Njuguna)"/>
    <x v="1"/>
    <x v="1"/>
    <x v="0"/>
  </r>
  <r>
    <n v="123"/>
    <x v="0"/>
    <s v="U1300 R6.4 - NIC3"/>
    <s v="012 - Load Contactor"/>
    <s v="Boost Primacy - Disabled"/>
    <s v="2-High"/>
    <s v=" "/>
    <d v="2024-10-04T00:00:00"/>
    <d v="1899-12-30T16:03:47"/>
    <s v="Passed"/>
    <s v="Passed"/>
    <s v="knjuguna(Kamau Njuguna)"/>
    <x v="1"/>
    <x v="1"/>
    <x v="0"/>
  </r>
  <r>
    <n v="1725"/>
    <x v="0"/>
    <s v="U1300 R6.4 - NIC3"/>
    <s v="012 - Load Contactor"/>
    <s v="Boost Primacy - Enable-Disable"/>
    <s v="2-High"/>
    <s v=" "/>
    <d v="2024-10-04T00:00:00"/>
    <d v="1899-12-30T16:43:52"/>
    <s v="Failed"/>
    <s v="Failed"/>
    <s v="knjuguna(Kamau Njuguna)"/>
    <x v="1"/>
    <x v="1"/>
    <x v="0"/>
  </r>
  <r>
    <n v="90"/>
    <x v="0"/>
    <s v="U1300 R6.4 - NIC3"/>
    <s v="012 - Load Contactor"/>
    <s v="Boost operation - Disabled"/>
    <s v="2-High"/>
    <s v=" "/>
    <d v="2024-10-07T00:00:00"/>
    <d v="1899-12-30T16:22:49"/>
    <s v="Passed"/>
    <s v="Passed"/>
    <s v="knjuguna(Kamau Njuguna)"/>
    <x v="1"/>
    <x v="1"/>
    <x v="0"/>
  </r>
  <r>
    <n v="76"/>
    <x v="0"/>
    <s v="U1300 R6.4 - NIC3"/>
    <s v="012 - Load Contactor"/>
    <s v="Boost operation - Enabled - Boost (Boost Duration) minutes"/>
    <s v="1-Critical"/>
    <s v=" "/>
    <d v="2024-10-08T00:00:00"/>
    <d v="1899-12-30T11:23:39"/>
    <s v="Passed"/>
    <s v="Passed"/>
    <s v="knjuguna(Kamau Njuguna)"/>
    <x v="1"/>
    <x v="1"/>
    <x v="0"/>
  </r>
  <r>
    <n v="74"/>
    <x v="0"/>
    <s v="U3400 R6.4 - NIC5"/>
    <s v="012 - Load Contactor"/>
    <s v="Meter load contactor - remote override (close)"/>
    <s v="1-Critical"/>
    <s v=" "/>
    <d v="2024-09-20T00:00:00"/>
    <d v="1899-12-30T09:55:12"/>
    <s v="Passed"/>
    <s v="Passed"/>
    <s v="mkalra(Manoj Kalra)"/>
    <x v="0"/>
    <x v="1"/>
    <x v="0"/>
  </r>
  <r>
    <n v="73"/>
    <x v="0"/>
    <s v="U3400 R6.4 - NIC5"/>
    <s v="012 - Load Contactor"/>
    <s v="Meter load contactor - remote override (open)"/>
    <s v="1-Critical"/>
    <s v=" "/>
    <d v="2024-09-20T00:00:00"/>
    <d v="1899-12-30T10:59:45"/>
    <s v="Failed"/>
    <s v="Failed"/>
    <s v="mkalra(Manoj Kalra)"/>
    <x v="0"/>
    <x v="1"/>
    <x v="0"/>
  </r>
  <r>
    <n v="75"/>
    <x v="0"/>
    <s v="U3400 R6.4 - NIC5"/>
    <s v="012 - Load Contactor"/>
    <s v="Meter load contactor - switching schedule 5-on-5-off"/>
    <s v="1-Critical"/>
    <s v=" "/>
    <d v="2024-10-07T00:00:00"/>
    <d v="1899-12-30T10:22:40"/>
    <s v="Passed"/>
    <s v="Passed"/>
    <s v="mkalra(Manoj Kalra)"/>
    <x v="0"/>
    <x v="1"/>
    <x v="0"/>
  </r>
  <r>
    <n v="122"/>
    <x v="0"/>
    <s v="U3400 R6.4 - NIC5"/>
    <s v="012 - Load Contactor"/>
    <s v="Boost Primacy - Boost time longer than LC override"/>
    <s v="2-High"/>
    <s v=" "/>
    <d v="2024-10-03T00:00:00"/>
    <d v="1899-12-30T16:19:02"/>
    <s v="Passed"/>
    <s v="Passed"/>
    <s v="mkalra(Manoj Kalra)"/>
    <x v="0"/>
    <x v="1"/>
    <x v="0"/>
  </r>
  <r>
    <n v="123"/>
    <x v="0"/>
    <s v="U3400 R6.4 - NIC5"/>
    <s v="012 - Load Contactor"/>
    <s v="Boost Primacy - Disabled"/>
    <s v="2-High"/>
    <s v=" "/>
    <d v="2024-09-20T00:00:00"/>
    <d v="1899-12-30T13:20:20"/>
    <s v="Passed"/>
    <s v="Passed"/>
    <s v="mkalra(Manoj Kalra)"/>
    <x v="0"/>
    <x v="1"/>
    <x v="0"/>
  </r>
  <r>
    <n v="1725"/>
    <x v="0"/>
    <s v="U3400 R6.4 - NIC5"/>
    <s v="012 - Load Contactor"/>
    <s v="Boost Primacy - Enable-Disable"/>
    <s v="2-High"/>
    <s v=" "/>
    <d v="2024-09-20T00:00:00"/>
    <d v="1899-12-30T15:01:06"/>
    <s v="Failed"/>
    <s v="Failed"/>
    <s v="mkalra(Manoj Kalra)"/>
    <x v="0"/>
    <x v="1"/>
    <x v="0"/>
  </r>
  <r>
    <n v="90"/>
    <x v="0"/>
    <s v="U3400 R6.4 - NIC5"/>
    <s v="012 - Load Contactor"/>
    <s v="Boost operation - Disabled"/>
    <s v="2-High"/>
    <s v=" "/>
    <d v="2024-09-24T00:00:00"/>
    <d v="1899-12-30T09:38:18"/>
    <s v="Passed"/>
    <s v="Passed"/>
    <s v="mkalra(Manoj Kalra)"/>
    <x v="0"/>
    <x v="1"/>
    <x v="0"/>
  </r>
  <r>
    <n v="76"/>
    <x v="0"/>
    <s v="U3400 R6.4 - NIC5"/>
    <s v="012 - Load Contactor"/>
    <s v="Boost operation - Enabled - Boost (Boost Duration) minutes"/>
    <s v="1-Critical"/>
    <s v=" "/>
    <d v="2024-09-24T00:00:00"/>
    <d v="1899-12-30T12:36:36"/>
    <s v="Passed"/>
    <s v="Passed"/>
    <s v="mkalra(Manoj Kalra)"/>
    <x v="0"/>
    <x v="1"/>
    <x v="0"/>
  </r>
  <r>
    <n v="74"/>
    <x v="0"/>
    <s v="U1300 R6.4 - NIC5"/>
    <s v="012 - Load Contactor"/>
    <s v="Meter load contactor - remote override (close)"/>
    <s v="1-Critical"/>
    <s v=" "/>
    <d v="2024-09-20T00:00:00"/>
    <d v="1899-12-30T14:12:26"/>
    <s v="Passed"/>
    <s v="Passed"/>
    <s v="knjuguna(Kamau Njuguna)"/>
    <x v="1"/>
    <x v="1"/>
    <x v="0"/>
  </r>
  <r>
    <n v="73"/>
    <x v="0"/>
    <s v="U1300 R6.4 - NIC5"/>
    <s v="012 - Load Contactor"/>
    <s v="Meter load contactor - remote override (open)"/>
    <s v="1-Critical"/>
    <s v=" "/>
    <d v="2024-09-20T00:00:00"/>
    <d v="1899-12-30T14:56:33"/>
    <s v="Failed"/>
    <s v="Failed"/>
    <s v="knjuguna(Kamau Njuguna)"/>
    <x v="1"/>
    <x v="1"/>
    <x v="0"/>
  </r>
  <r>
    <n v="75"/>
    <x v="0"/>
    <s v="U1300 R6.4 - NIC5"/>
    <s v="012 - Load Contactor"/>
    <s v="Meter load contactor - switching schedule 5-on-5-off"/>
    <s v="1-Critical"/>
    <s v=" "/>
    <d v="2024-09-23T00:00:00"/>
    <d v="1899-12-30T09:23:34"/>
    <s v="Passed"/>
    <s v="Passed"/>
    <s v="knjuguna(Kamau Njuguna)"/>
    <x v="1"/>
    <x v="1"/>
    <x v="0"/>
  </r>
  <r>
    <n v="122"/>
    <x v="0"/>
    <s v="U1300 R6.4 - NIC5"/>
    <s v="012 - Load Contactor"/>
    <s v="Boost Primacy - Boost time longer than LC override"/>
    <s v="2-High"/>
    <s v=" "/>
    <d v="2024-10-04T00:00:00"/>
    <d v="1899-12-30T14:39:37"/>
    <s v="Passed"/>
    <s v="Passed"/>
    <s v="knjuguna(Kamau Njuguna)"/>
    <x v="1"/>
    <x v="1"/>
    <x v="0"/>
  </r>
  <r>
    <n v="123"/>
    <x v="0"/>
    <s v="U1300 R6.4 - NIC5"/>
    <s v="012 - Load Contactor"/>
    <s v="Boost Primacy - Disabled"/>
    <s v="2-High"/>
    <s v=" "/>
    <d v="2024-10-04T00:00:00"/>
    <d v="1899-12-30T16:12:06"/>
    <s v="Passed"/>
    <s v="Passed"/>
    <s v="knjuguna(Kamau Njuguna)"/>
    <x v="1"/>
    <x v="1"/>
    <x v="0"/>
  </r>
  <r>
    <n v="1725"/>
    <x v="0"/>
    <s v="U1300 R6.4 - NIC5"/>
    <s v="012 - Load Contactor"/>
    <s v="Boost Primacy - Enable-Disable"/>
    <s v="2-High"/>
    <s v=" "/>
    <d v="2024-10-04T00:00:00"/>
    <d v="1899-12-30T16:56:58"/>
    <s v="Failed"/>
    <s v="Failed"/>
    <s v="knjuguna(Kamau Njuguna)"/>
    <x v="1"/>
    <x v="1"/>
    <x v="0"/>
  </r>
  <r>
    <n v="90"/>
    <x v="0"/>
    <s v="U1300 R6.4 - NIC5"/>
    <s v="012 - Load Contactor"/>
    <s v="Boost operation - Disabled"/>
    <s v="2-High"/>
    <s v=" "/>
    <d v="2024-10-07T00:00:00"/>
    <d v="1899-12-30T16:23:48"/>
    <s v="Passed"/>
    <s v="Passed"/>
    <s v="knjuguna(Kamau Njuguna)"/>
    <x v="1"/>
    <x v="1"/>
    <x v="0"/>
  </r>
  <r>
    <n v="76"/>
    <x v="0"/>
    <s v="U1300 R6.4 - NIC5"/>
    <s v="012 - Load Contactor"/>
    <s v="Boost operation - Enabled - Boost (Boost Duration) minutes"/>
    <s v="1-Critical"/>
    <s v=" "/>
    <d v="2024-10-08T00:00:00"/>
    <d v="1899-12-30T11:28:33"/>
    <s v="Passed"/>
    <s v="Passed"/>
    <s v="knjuguna(Kamau Njuguna)"/>
    <x v="1"/>
    <x v="1"/>
    <x v="0"/>
  </r>
  <r>
    <n v="79"/>
    <x v="0"/>
    <s v="U3400 R6.4 - NIC3"/>
    <s v="014 - QoS"/>
    <s v="Loss of phase supply on 3-phase meters"/>
    <s v="1-Critical"/>
    <s v=" "/>
    <d v="2024-10-09T00:00:00"/>
    <d v="1899-12-30T12:43:30"/>
    <s v="Passed"/>
    <s v="Passed"/>
    <s v="mkalra(Manoj Kalra)"/>
    <x v="0"/>
    <x v="1"/>
    <x v="0"/>
  </r>
  <r>
    <n v="78"/>
    <x v="0"/>
    <s v="U3400 R6.4 - NIC3"/>
    <s v="014 - QoS"/>
    <s v="Loss of supply - threshold"/>
    <s v="1-Critical"/>
    <s v=" "/>
    <d v="2024-10-09T00:00:00"/>
    <d v="1899-12-30T16:48:55"/>
    <s v="Passed"/>
    <s v="Passed"/>
    <s v="mkalra(Manoj Kalra)"/>
    <x v="0"/>
    <x v="1"/>
    <x v="0"/>
  </r>
  <r>
    <n v="120"/>
    <x v="0"/>
    <s v="U3400 R6.4 - NIC3"/>
    <s v="014 - QoS"/>
    <s v="Over temperature event - L&amp;G meters"/>
    <s v="2-High"/>
    <s v=" "/>
    <d v="2024-10-15T00:00:00"/>
    <d v="1899-12-30T10:51:57"/>
    <s v="Not Completed"/>
    <s v="RBT"/>
    <s v="mkalra(Manoj Kalra)"/>
    <x v="0"/>
    <x v="0"/>
    <x v="0"/>
  </r>
  <r>
    <n v="146"/>
    <x v="0"/>
    <s v="U3400 R6.4 - NIC3"/>
    <s v="014 - QoS"/>
    <s v="QoS - Low PF detection"/>
    <s v="1-Critical"/>
    <s v=" "/>
    <d v="2024-10-11T00:00:00"/>
    <d v="1899-12-30T15:05:16"/>
    <s v="N/A"/>
    <s v="N/A"/>
    <s v="mkalra(Manoj Kalra)"/>
    <x v="0"/>
    <x v="2"/>
    <x v="3"/>
  </r>
  <r>
    <n v="80"/>
    <x v="0"/>
    <s v="U3400 R6.4 - NIC3"/>
    <s v="014 - QoS"/>
    <s v="QoS - Overvoltage and Undervoltage"/>
    <s v="1-Critical"/>
    <s v=" "/>
    <d v="2024-10-09T00:00:00"/>
    <d v="1899-12-30T10:55:45"/>
    <s v="Passed"/>
    <s v="Passed"/>
    <s v="mkalra(Manoj Kalra)"/>
    <x v="0"/>
    <x v="1"/>
    <x v="0"/>
  </r>
  <r>
    <n v="145"/>
    <x v="0"/>
    <s v="U3400 R6.4 - NIC3"/>
    <s v="014 - QoS"/>
    <s v="QoS - Voltage failure detection"/>
    <s v="1-Critical"/>
    <s v=" "/>
    <d v="2024-10-09T00:00:00"/>
    <d v="1899-12-30T11:04:38"/>
    <s v="N/A"/>
    <s v="N/A"/>
    <s v="mkalra(Manoj Kalra)"/>
    <x v="0"/>
    <x v="2"/>
    <x v="3"/>
  </r>
  <r>
    <n v="78"/>
    <x v="0"/>
    <s v="U1300 R6.4 - NIC3"/>
    <s v="014 - QoS"/>
    <s v="Loss of supply - threshold"/>
    <s v="1-Critical"/>
    <s v=" "/>
    <d v="2024-10-08T00:00:00"/>
    <d v="1899-12-30T14:35:21"/>
    <s v="Passed"/>
    <s v="Passed"/>
    <s v="knjuguna(Kamau Njuguna)"/>
    <x v="1"/>
    <x v="1"/>
    <x v="0"/>
  </r>
  <r>
    <n v="120"/>
    <x v="0"/>
    <s v="U1300 R6.4 - NIC3"/>
    <s v="014 - QoS"/>
    <s v="Over temperature event - L&amp;G meters"/>
    <s v="2-High"/>
    <s v=" "/>
    <d v="2024-10-15T00:00:00"/>
    <d v="1899-12-30T11:55:51"/>
    <s v="Not Completed"/>
    <s v="Not Completed"/>
    <s v="knjuguna(Kamau Njuguna)"/>
    <x v="1"/>
    <x v="1"/>
    <x v="1"/>
  </r>
  <r>
    <n v="146"/>
    <x v="0"/>
    <s v="U1300 R6.4 - NIC3"/>
    <s v="014 - QoS"/>
    <s v="QoS - Low PF detection"/>
    <s v="1-Critical"/>
    <s v="Not applicable to L&amp;G meters"/>
    <d v="2024-10-09T00:00:00"/>
    <d v="1899-12-30T09:02:38"/>
    <s v="N/A"/>
    <s v="N/A"/>
    <s v="knjuguna(Kamau Njuguna)"/>
    <x v="1"/>
    <x v="2"/>
    <x v="3"/>
  </r>
  <r>
    <n v="80"/>
    <x v="0"/>
    <s v="U1300 R6.4 - NIC3"/>
    <s v="014 - QoS"/>
    <s v="QoS - Overvoltage and Undervoltage"/>
    <s v="1-Critical"/>
    <s v=" "/>
    <d v="2024-10-07T00:00:00"/>
    <d v="1899-12-30T15:59:29"/>
    <s v="Passed"/>
    <s v="Passed"/>
    <s v="knjuguna(Kamau Njuguna)"/>
    <x v="1"/>
    <x v="1"/>
    <x v="0"/>
  </r>
  <r>
    <n v="145"/>
    <x v="0"/>
    <s v="U1300 R6.4 - NIC3"/>
    <s v="014 - QoS"/>
    <s v="QoS - Voltage failure detection"/>
    <s v="1-Critical"/>
    <s v="Not applicable to L&amp;G meters"/>
    <d v="2024-10-09T00:00:00"/>
    <d v="1899-12-30T09:09:10"/>
    <s v="N/A"/>
    <s v="N/A"/>
    <s v="knjuguna(Kamau Njuguna)"/>
    <x v="1"/>
    <x v="2"/>
    <x v="3"/>
  </r>
  <r>
    <n v="79"/>
    <x v="0"/>
    <s v="U3400 R6.4 - NIC5"/>
    <s v="014 - QoS"/>
    <s v="Loss of phase supply on 3-phase meters"/>
    <s v="1-Critical"/>
    <s v=" "/>
    <d v="2024-10-09T00:00:00"/>
    <d v="1899-12-30T12:43:27"/>
    <s v="Passed"/>
    <s v="Passed"/>
    <s v="mkalra(Manoj Kalra)"/>
    <x v="0"/>
    <x v="1"/>
    <x v="0"/>
  </r>
  <r>
    <n v="78"/>
    <x v="0"/>
    <s v="U3400 R6.4 - NIC5"/>
    <s v="014 - QoS"/>
    <s v="Loss of supply - threshold"/>
    <s v="1-Critical"/>
    <s v=" "/>
    <d v="2024-10-09T00:00:00"/>
    <d v="1899-12-30T16:48:56"/>
    <s v="Passed"/>
    <s v="Passed"/>
    <s v="mkalra(Manoj Kalra)"/>
    <x v="0"/>
    <x v="1"/>
    <x v="0"/>
  </r>
  <r>
    <n v="120"/>
    <x v="0"/>
    <s v="U3400 R6.4 - NIC5"/>
    <s v="014 - QoS"/>
    <s v="Over temperature event - L&amp;G meters"/>
    <s v="2-High"/>
    <s v="This Test is performed on U1300 Meters"/>
    <d v="2024-10-15T00:00:00"/>
    <d v="1899-12-30T10:49:45"/>
    <s v="Not Completed"/>
    <s v="RBT"/>
    <s v="mkalra(Manoj Kalra)"/>
    <x v="0"/>
    <x v="0"/>
    <x v="0"/>
  </r>
  <r>
    <n v="146"/>
    <x v="0"/>
    <s v="U3400 R6.4 - NIC5"/>
    <s v="014 - QoS"/>
    <s v="QoS - Low PF detection"/>
    <s v="1-Critical"/>
    <s v=" "/>
    <d v="2024-10-11T00:00:00"/>
    <d v="1899-12-30T15:05:27"/>
    <s v="N/A"/>
    <s v="N/A"/>
    <s v="mkalra(Manoj Kalra)"/>
    <x v="0"/>
    <x v="2"/>
    <x v="3"/>
  </r>
  <r>
    <n v="80"/>
    <x v="0"/>
    <s v="U3400 R6.4 - NIC5"/>
    <s v="014 - QoS"/>
    <s v="QoS - Overvoltage and Undervoltage"/>
    <s v="1-Critical"/>
    <s v=" "/>
    <d v="2024-10-09T00:00:00"/>
    <d v="1899-12-30T10:55:49"/>
    <s v="Passed"/>
    <s v="Passed"/>
    <s v="mkalra(Manoj Kalra)"/>
    <x v="0"/>
    <x v="1"/>
    <x v="0"/>
  </r>
  <r>
    <n v="145"/>
    <x v="0"/>
    <s v="U3400 R6.4 - NIC5"/>
    <s v="014 - QoS"/>
    <s v="QoS - Voltage failure detection"/>
    <s v="1-Critical"/>
    <s v=" "/>
    <d v="2024-10-09T00:00:00"/>
    <d v="1899-12-30T11:04:53"/>
    <s v="N/A"/>
    <s v="N/A"/>
    <s v="mkalra(Manoj Kalra)"/>
    <x v="0"/>
    <x v="2"/>
    <x v="3"/>
  </r>
  <r>
    <n v="78"/>
    <x v="0"/>
    <s v="U1300 R6.4 - NIC5"/>
    <s v="014 - QoS"/>
    <s v="Loss of supply - threshold"/>
    <s v="1-Critical"/>
    <s v=" "/>
    <d v="2024-10-08T00:00:00"/>
    <d v="1899-12-30T14:41:53"/>
    <s v="Passed"/>
    <s v="Passed"/>
    <s v="knjuguna(Kamau Njuguna)"/>
    <x v="1"/>
    <x v="1"/>
    <x v="0"/>
  </r>
  <r>
    <n v="120"/>
    <x v="0"/>
    <s v="U1300 R6.4 - NIC5"/>
    <s v="014 - QoS"/>
    <s v="Over temperature event - L&amp;G meters"/>
    <s v="2-High"/>
    <s v="NIC320 meter has been tested"/>
    <d v="2024-10-15T00:00:00"/>
    <d v="1899-12-30T11:52:39"/>
    <s v="Not Completed"/>
    <s v="RBT"/>
    <s v="knjuguna(Kamau Njuguna)"/>
    <x v="1"/>
    <x v="0"/>
    <x v="0"/>
  </r>
  <r>
    <n v="146"/>
    <x v="0"/>
    <s v="U1300 R6.4 - NIC5"/>
    <s v="014 - QoS"/>
    <s v="QoS - Low PF detection"/>
    <s v="1-Critical"/>
    <s v="Not applicable to L&amp;G meters"/>
    <d v="2024-10-09T00:00:00"/>
    <d v="1899-12-30T09:03:37"/>
    <s v="N/A"/>
    <s v="N/A"/>
    <s v="knjuguna(Kamau Njuguna)"/>
    <x v="1"/>
    <x v="2"/>
    <x v="3"/>
  </r>
  <r>
    <n v="80"/>
    <x v="0"/>
    <s v="U1300 R6.4 - NIC5"/>
    <s v="014 - QoS"/>
    <s v="QoS - Overvoltage and Undervoltage"/>
    <s v="1-Critical"/>
    <s v=" "/>
    <d v="2024-10-07T00:00:00"/>
    <d v="1899-12-30T16:01:11"/>
    <s v="Passed"/>
    <s v="Passed"/>
    <s v="knjuguna(Kamau Njuguna)"/>
    <x v="1"/>
    <x v="1"/>
    <x v="0"/>
  </r>
  <r>
    <n v="145"/>
    <x v="0"/>
    <s v="U1300 R6.4 - NIC5"/>
    <s v="014 - QoS"/>
    <s v="QoS - Voltage failure detection"/>
    <s v="1-Critical"/>
    <s v="Not applicable to L&amp;G meters"/>
    <d v="2024-10-09T00:00:00"/>
    <d v="1899-12-30T09:11:40"/>
    <s v="N/A"/>
    <s v="N/A"/>
    <s v="knjuguna(Kamau Njuguna)"/>
    <x v="1"/>
    <x v="2"/>
    <x v="3"/>
  </r>
  <r>
    <n v="77"/>
    <x v="0"/>
    <s v="U1300 R6.4 - NIC3"/>
    <s v="014 - QoS"/>
    <s v="Loss of supply - Verify last gasp for multiple meter outage"/>
    <s v="1-Critical"/>
    <s v=" "/>
    <d v="2024-10-09T00:00:00"/>
    <d v="1899-12-30T16:35:04"/>
    <s v="Passed"/>
    <s v="Passed"/>
    <s v="knjuguna(Kamau Njuguna)"/>
    <x v="1"/>
    <x v="1"/>
    <x v="0"/>
  </r>
  <r>
    <n v="77"/>
    <x v="0"/>
    <s v="U1300 R6.4 - NIC5"/>
    <s v="014 - QoS"/>
    <s v="Loss of supply - Verify last gasp for multiple meter outage"/>
    <s v="1-Critical"/>
    <s v=" "/>
    <d v="2024-10-09T00:00:00"/>
    <d v="1899-12-30T16:25:19"/>
    <s v="Passed"/>
    <s v="Passed"/>
    <s v="knjuguna(Kamau Njuguna)"/>
    <x v="1"/>
    <x v="1"/>
    <x v="0"/>
  </r>
  <r>
    <n v="77"/>
    <x v="0"/>
    <s v="U3400 R6.4 - NIC3"/>
    <s v="014 - QoS"/>
    <s v="Loss of supply - Verify last gasp for multiple meter outage"/>
    <s v="1-Critical"/>
    <s v=" "/>
    <d v="2024-10-10T00:00:00"/>
    <d v="1899-12-30T10:14:59"/>
    <s v="Passed"/>
    <s v="Passed"/>
    <s v="mkalra(Manoj Kalra)"/>
    <x v="0"/>
    <x v="1"/>
    <x v="0"/>
  </r>
  <r>
    <n v="77"/>
    <x v="0"/>
    <s v="U3400 R6.4 - NIC5"/>
    <s v="014 - QoS"/>
    <s v="Loss of supply - Verify last gasp for multiple meter outage"/>
    <s v="1-Critical"/>
    <s v=" "/>
    <d v="2024-10-09T00:00:00"/>
    <d v="1899-12-30T17:27:54"/>
    <s v="Passed"/>
    <s v="Passed"/>
    <s v="mkalra(Manoj Kalra)"/>
    <x v="0"/>
    <x v="1"/>
    <x v="0"/>
  </r>
  <r>
    <n v="148"/>
    <x v="0"/>
    <s v="U3400 R6.4 - NIC3"/>
    <s v="015 - SIQ"/>
    <s v="SIQ Profile Sanity Check"/>
    <s v="1-Critical"/>
    <s v=" "/>
    <d v="2024-10-10T00:00:00"/>
    <d v="1899-12-30T17:18:39"/>
    <s v="Passed"/>
    <s v="Passed"/>
    <s v="mkalra(Manoj Kalra)"/>
    <x v="0"/>
    <x v="1"/>
    <x v="0"/>
  </r>
  <r>
    <n v="148"/>
    <x v="0"/>
    <s v="U1300 R6.4 - NIC3"/>
    <s v="015 - SIQ"/>
    <s v="SIQ Profile Sanity Check"/>
    <s v="1-Critical"/>
    <s v=" "/>
    <d v="2024-10-09T00:00:00"/>
    <d v="1899-12-30T12:52:56"/>
    <s v="Passed"/>
    <s v="Passed"/>
    <s v="knjuguna(Kamau Njuguna)"/>
    <x v="1"/>
    <x v="1"/>
    <x v="0"/>
  </r>
  <r>
    <n v="148"/>
    <x v="0"/>
    <s v="U3400 R6.4 - NIC5"/>
    <s v="015 - SIQ"/>
    <s v="SIQ Profile Sanity Check"/>
    <s v="1-Critical"/>
    <s v=" "/>
    <d v="2024-10-10T00:00:00"/>
    <d v="1899-12-30T17:18:33"/>
    <s v="Passed"/>
    <s v="Passed"/>
    <s v="mkalra(Manoj Kalra)"/>
    <x v="0"/>
    <x v="1"/>
    <x v="0"/>
  </r>
  <r>
    <n v="148"/>
    <x v="0"/>
    <s v="U1300 R6.4 - NIC5"/>
    <s v="015 - SIQ"/>
    <s v="SIQ Profile Sanity Check"/>
    <s v="1-Critical"/>
    <s v=" "/>
    <d v="2024-10-09T00:00:00"/>
    <d v="1899-12-30T13:15:16"/>
    <s v="Passed"/>
    <s v="Passed"/>
    <s v="knjuguna(Kamau Njuguna)"/>
    <x v="1"/>
    <x v="1"/>
    <x v="0"/>
  </r>
  <r>
    <n v="106"/>
    <x v="0"/>
    <s v="U3400 R6.4 - NIC5"/>
    <s v="016 - HAN"/>
    <s v="HCM -  Display meter consumption on IHD"/>
    <s v="1-Critical"/>
    <s v=" "/>
    <d v="2024-10-14T00:00:00"/>
    <d v="1899-12-30T15:42:44"/>
    <s v="RBT"/>
    <s v="Passed"/>
    <s v="mkalra(Manoj Kalra)"/>
    <x v="0"/>
    <x v="1"/>
    <x v="0"/>
  </r>
  <r>
    <n v="106"/>
    <x v="0"/>
    <s v="U3400 R6.4 - NIC3"/>
    <s v="016 - HAN"/>
    <s v="HCM -  Display meter consumption on IHD"/>
    <s v="1-Critical"/>
    <s v=" "/>
    <d v="2024-10-14T00:00:00"/>
    <d v="1899-12-30T15:06:19"/>
    <s v="RBT"/>
    <s v="Blocked"/>
    <s v="mkalra(Manoj Kalra)"/>
    <x v="0"/>
    <x v="2"/>
    <x v="4"/>
  </r>
  <r>
    <n v="106"/>
    <x v="0"/>
    <s v="U1300 R6.4 - NIC5"/>
    <s v="016 - HAN"/>
    <s v="HCM -  Display meter consumption on IHD"/>
    <s v="1-Critical"/>
    <s v="No appropriate meter with HAN certificate but passed on NIC320 meter"/>
    <d v="2024-10-15T00:00:00"/>
    <d v="1899-12-30T14:32:54"/>
    <s v="RBT"/>
    <s v="RBT"/>
    <s v="knjuguna(Kamau Njuguna)"/>
    <x v="1"/>
    <x v="0"/>
    <x v="0"/>
  </r>
  <r>
    <n v="106"/>
    <x v="0"/>
    <s v="U1300 R6.4 - NIC3"/>
    <s v="016 - HAN"/>
    <s v="HCM -  Display meter consumption on IHD"/>
    <s v="1-Critical"/>
    <s v=" "/>
    <d v="2024-10-14T00:00:00"/>
    <d v="1899-12-30T15:16:09"/>
    <s v="RBT"/>
    <s v="Passed"/>
    <s v="knjuguna(Kamau Njuguna)"/>
    <x v="1"/>
    <x v="1"/>
    <x v="0"/>
  </r>
  <r>
    <n v="104"/>
    <x v="0"/>
    <s v="U1300 R6.4 - NIC3"/>
    <s v="016 - HAN"/>
    <s v="HCM -  Support for 2E meters metering cluster"/>
    <s v="3-Medium"/>
    <s v=" "/>
    <d v="2024-09-24T00:00:00"/>
    <d v="1899-12-30T17:13:41"/>
    <s v="RBT"/>
    <s v="RBT"/>
    <s v="mkalra(Manoj Kalra)"/>
    <x v="1"/>
    <x v="0"/>
    <x v="0"/>
  </r>
  <r>
    <n v="104"/>
    <x v="0"/>
    <s v="U1300 R6.4 - NIC5"/>
    <s v="016 - HAN"/>
    <s v="HCM -  Support for 2E meters metering cluster"/>
    <s v="3-Medium"/>
    <s v=" "/>
    <d v="2024-09-24T00:00:00"/>
    <d v="1899-12-30T17:15:24"/>
    <s v="RBT"/>
    <s v="RBT"/>
    <s v="mkalra(Manoj Kalra)"/>
    <x v="1"/>
    <x v="0"/>
    <x v="0"/>
  </r>
  <r>
    <n v="104"/>
    <x v="0"/>
    <s v="U3400 R6.4 - NIC3"/>
    <s v="016 - HAN"/>
    <s v="HCM -  Support for 2E meters metering cluster"/>
    <s v="3-Medium"/>
    <s v=" "/>
    <d v="2024-09-24T00:00:00"/>
    <d v="1899-12-30T17:15:54"/>
    <s v="RBT"/>
    <s v="RBT"/>
    <s v="mkalra(Manoj Kalra)"/>
    <x v="0"/>
    <x v="0"/>
    <x v="0"/>
  </r>
  <r>
    <n v="104"/>
    <x v="0"/>
    <s v="U3400 R6.4 - NIC5"/>
    <s v="016 - HAN"/>
    <s v="HCM -  Support for 2E meters metering cluster"/>
    <s v="3-Medium"/>
    <s v=" "/>
    <d v="2024-09-24T00:00:00"/>
    <d v="1899-12-30T17:17:17"/>
    <s v="RBT"/>
    <s v="RBT"/>
    <s v="mkalra(Manoj Kalra)"/>
    <x v="0"/>
    <x v="0"/>
    <x v="0"/>
  </r>
  <r>
    <n v="93"/>
    <x v="0"/>
    <s v="U1300 R6.4 - NIC3"/>
    <s v="016 - HAN"/>
    <s v="HCM - Import IHD"/>
    <s v="2-High"/>
    <s v=" "/>
    <d v="2024-09-24T00:00:00"/>
    <d v="1899-12-30T17:14:11"/>
    <s v="RBT"/>
    <s v="RBT"/>
    <s v="mkalra(Manoj Kalra)"/>
    <x v="1"/>
    <x v="0"/>
    <x v="0"/>
  </r>
  <r>
    <n v="94"/>
    <x v="0"/>
    <s v="U1300 R6.4 - NIC3"/>
    <s v="016 - HAN"/>
    <s v="HCM - Import ESI"/>
    <s v="2-High"/>
    <s v=" "/>
    <d v="2024-09-24T00:00:00"/>
    <d v="1899-12-30T17:14:08"/>
    <s v="RBT"/>
    <s v="RBT"/>
    <s v="mkalra(Manoj Kalra)"/>
    <x v="1"/>
    <x v="0"/>
    <x v="0"/>
  </r>
  <r>
    <n v="95"/>
    <x v="0"/>
    <s v="U1300 R6.4 - NIC3"/>
    <s v="016 - HAN"/>
    <s v="HCM - Sync ESI"/>
    <s v="2-High"/>
    <s v=" "/>
    <d v="2024-09-24T00:00:00"/>
    <d v="1899-12-30T17:14:16"/>
    <s v="RBT"/>
    <s v="RBT"/>
    <s v="mkalra(Manoj Kalra)"/>
    <x v="1"/>
    <x v="0"/>
    <x v="0"/>
  </r>
  <r>
    <n v="96"/>
    <x v="0"/>
    <s v="U1300 R6.4 - NIC3"/>
    <s v="016 - HAN"/>
    <s v="HCM - Provision ESI"/>
    <s v="2-High"/>
    <s v=" "/>
    <d v="2024-09-24T00:00:00"/>
    <d v="1899-12-30T17:14:14"/>
    <s v="RBT"/>
    <s v="RBT"/>
    <s v="mkalra(Manoj Kalra)"/>
    <x v="1"/>
    <x v="0"/>
    <x v="0"/>
  </r>
  <r>
    <n v="97"/>
    <x v="0"/>
    <s v="U1300 R6.4 - NIC3"/>
    <s v="016 - HAN"/>
    <s v="HCM -  Associate IHD to ESI"/>
    <s v="2-High"/>
    <s v=" "/>
    <d v="2024-09-24T00:00:00"/>
    <d v="1899-12-30T17:13:48"/>
    <s v="RBT"/>
    <s v="RBT"/>
    <s v="mkalra(Manoj Kalra)"/>
    <x v="1"/>
    <x v="0"/>
    <x v="0"/>
  </r>
  <r>
    <n v="98"/>
    <x v="0"/>
    <s v="U1300 R6.4 - NIC3"/>
    <s v="016 - HAN"/>
    <s v="HCM -  Join IHD to ESI"/>
    <s v="2-High"/>
    <s v=" "/>
    <d v="2024-09-24T00:00:00"/>
    <d v="1899-12-30T17:14:00"/>
    <s v="RBT"/>
    <s v="RBT"/>
    <s v="mkalra(Manoj Kalra)"/>
    <x v="1"/>
    <x v="0"/>
    <x v="0"/>
  </r>
  <r>
    <n v="99"/>
    <x v="0"/>
    <s v="U1300 R6.4 - NIC3"/>
    <s v="016 - HAN"/>
    <s v="HCM -  Ping IHD via ESI"/>
    <s v="2-High"/>
    <s v=" "/>
    <d v="2024-09-24T00:00:00"/>
    <d v="1899-12-30T17:14:03"/>
    <s v="RBT"/>
    <s v="RBT"/>
    <s v="mkalra(Manoj Kalra)"/>
    <x v="1"/>
    <x v="0"/>
    <x v="0"/>
  </r>
  <r>
    <n v="101"/>
    <x v="0"/>
    <s v="U1300 R6.4 - NIC3"/>
    <s v="016 - HAN"/>
    <s v="HCM -  Unjoin IHD to ESI"/>
    <s v="2-High"/>
    <s v=" "/>
    <d v="2024-09-24T00:00:00"/>
    <d v="1899-12-30T17:14:06"/>
    <s v="RBT"/>
    <s v="RBT"/>
    <s v="mkalra(Manoj Kalra)"/>
    <x v="1"/>
    <x v="0"/>
    <x v="0"/>
  </r>
  <r>
    <n v="102"/>
    <x v="0"/>
    <s v="U1300 R6.4 - NIC3"/>
    <s v="016 - HAN"/>
    <s v="HCM -  HAN secure key establishment"/>
    <s v="3-Medium"/>
    <s v=" "/>
    <d v="2024-09-24T00:00:00"/>
    <d v="1899-12-30T17:13:54"/>
    <s v="RBT"/>
    <s v="RBT"/>
    <s v="mkalra(Manoj Kalra)"/>
    <x v="1"/>
    <x v="0"/>
    <x v="0"/>
  </r>
  <r>
    <n v="103"/>
    <x v="0"/>
    <s v="U1300 R6.4 - NIC3"/>
    <s v="016 - HAN"/>
    <s v="HCM -  Enroll ESI to HCM program"/>
    <s v="3-Medium"/>
    <s v=" "/>
    <d v="2024-09-24T00:00:00"/>
    <d v="1899-12-30T17:13:51"/>
    <s v="RBT"/>
    <s v="RBT"/>
    <s v="mkalra(Manoj Kalra)"/>
    <x v="1"/>
    <x v="0"/>
    <x v="0"/>
  </r>
  <r>
    <n v="105"/>
    <x v="0"/>
    <s v="U1300 R6.4 - NIC3"/>
    <s v="016 - HAN"/>
    <s v="NC -  HAN radio diagnostic commands"/>
    <s v="2-High"/>
    <s v=" "/>
    <d v="2024-09-24T00:00:00"/>
    <d v="1899-12-30T17:14:18"/>
    <s v="RBT"/>
    <s v="RBT"/>
    <s v="mkalra(Manoj Kalra)"/>
    <x v="1"/>
    <x v="0"/>
    <x v="0"/>
  </r>
  <r>
    <n v="93"/>
    <x v="0"/>
    <s v="U1300 R6.4 - NIC5"/>
    <s v="016 - HAN"/>
    <s v="HCM - Import IHD"/>
    <s v="2-High"/>
    <s v=" "/>
    <d v="2024-09-24T00:00:00"/>
    <d v="1899-12-30T17:14:53"/>
    <s v="RBT"/>
    <s v="RBT"/>
    <s v="mkalra(Manoj Kalra)"/>
    <x v="1"/>
    <x v="0"/>
    <x v="0"/>
  </r>
  <r>
    <n v="94"/>
    <x v="0"/>
    <s v="U1300 R6.4 - NIC5"/>
    <s v="016 - HAN"/>
    <s v="HCM - Import ESI"/>
    <s v="2-High"/>
    <s v=" "/>
    <d v="2024-09-24T00:00:00"/>
    <d v="1899-12-30T17:15:02"/>
    <s v="RBT"/>
    <s v="RBT"/>
    <s v="mkalra(Manoj Kalra)"/>
    <x v="1"/>
    <x v="0"/>
    <x v="0"/>
  </r>
  <r>
    <n v="95"/>
    <x v="0"/>
    <s v="U1300 R6.4 - NIC5"/>
    <s v="016 - HAN"/>
    <s v="HCM - Sync ESI"/>
    <s v="2-High"/>
    <s v=" "/>
    <d v="2024-09-24T00:00:00"/>
    <d v="1899-12-30T17:15:14"/>
    <s v="RBT"/>
    <s v="RBT"/>
    <s v="mkalra(Manoj Kalra)"/>
    <x v="1"/>
    <x v="0"/>
    <x v="0"/>
  </r>
  <r>
    <n v="96"/>
    <x v="0"/>
    <s v="U1300 R6.4 - NIC5"/>
    <s v="016 - HAN"/>
    <s v="HCM - Provision ESI"/>
    <s v="2-High"/>
    <s v=" "/>
    <d v="2024-09-24T00:00:00"/>
    <d v="1899-12-30T17:14:52"/>
    <s v="RBT"/>
    <s v="RBT"/>
    <s v="mkalra(Manoj Kalra)"/>
    <x v="1"/>
    <x v="0"/>
    <x v="0"/>
  </r>
  <r>
    <n v="97"/>
    <x v="0"/>
    <s v="U1300 R6.4 - NIC5"/>
    <s v="016 - HAN"/>
    <s v="HCM -  Associate IHD to ESI"/>
    <s v="2-High"/>
    <s v=" "/>
    <d v="2024-09-24T00:00:00"/>
    <d v="1899-12-30T17:15:25"/>
    <s v="RBT"/>
    <s v="RBT"/>
    <s v="mkalra(Manoj Kalra)"/>
    <x v="1"/>
    <x v="0"/>
    <x v="0"/>
  </r>
  <r>
    <n v="98"/>
    <x v="0"/>
    <s v="U1300 R6.4 - NIC5"/>
    <s v="016 - HAN"/>
    <s v="HCM -  Join IHD to ESI"/>
    <s v="2-High"/>
    <s v=" "/>
    <d v="2024-09-24T00:00:00"/>
    <d v="1899-12-30T17:15:01"/>
    <s v="RBT"/>
    <s v="RBT"/>
    <s v="mkalra(Manoj Kalra)"/>
    <x v="1"/>
    <x v="0"/>
    <x v="0"/>
  </r>
  <r>
    <n v="99"/>
    <x v="0"/>
    <s v="U1300 R6.4 - NIC5"/>
    <s v="016 - HAN"/>
    <s v="HCM -  Ping IHD via ESI"/>
    <s v="2-High"/>
    <s v=" "/>
    <d v="2024-09-24T00:00:00"/>
    <d v="1899-12-30T17:14:55"/>
    <s v="RBT"/>
    <s v="RBT"/>
    <s v="mkalra(Manoj Kalra)"/>
    <x v="1"/>
    <x v="0"/>
    <x v="0"/>
  </r>
  <r>
    <n v="101"/>
    <x v="0"/>
    <s v="U1300 R6.4 - NIC5"/>
    <s v="016 - HAN"/>
    <s v="HCM -  Unjoin IHD to ESI"/>
    <s v="2-High"/>
    <s v=" "/>
    <d v="2024-09-24T00:00:00"/>
    <d v="1899-12-30T17:14:54"/>
    <s v="RBT"/>
    <s v="RBT"/>
    <s v="mkalra(Manoj Kalra)"/>
    <x v="1"/>
    <x v="0"/>
    <x v="0"/>
  </r>
  <r>
    <n v="102"/>
    <x v="0"/>
    <s v="U1300 R6.4 - NIC5"/>
    <s v="016 - HAN"/>
    <s v="HCM -  HAN secure key establishment"/>
    <s v="3-Medium"/>
    <s v=" "/>
    <d v="2024-09-24T00:00:00"/>
    <d v="1899-12-30T17:14:57"/>
    <s v="RBT"/>
    <s v="RBT"/>
    <s v="mkalra(Manoj Kalra)"/>
    <x v="1"/>
    <x v="0"/>
    <x v="0"/>
  </r>
  <r>
    <n v="103"/>
    <x v="0"/>
    <s v="U1300 R6.4 - NIC5"/>
    <s v="016 - HAN"/>
    <s v="HCM -  Enroll ESI to HCM program"/>
    <s v="3-Medium"/>
    <s v=" "/>
    <d v="2024-09-24T00:00:00"/>
    <d v="1899-12-30T17:14:59"/>
    <s v="RBT"/>
    <s v="RBT"/>
    <s v="mkalra(Manoj Kalra)"/>
    <x v="1"/>
    <x v="0"/>
    <x v="0"/>
  </r>
  <r>
    <n v="105"/>
    <x v="0"/>
    <s v="U1300 R6.4 - NIC5"/>
    <s v="016 - HAN"/>
    <s v="NC -  HAN radio diagnostic commands"/>
    <s v="2-High"/>
    <s v=" "/>
    <d v="2024-09-24T00:00:00"/>
    <d v="1899-12-30T17:14:50"/>
    <s v="RBT"/>
    <s v="RBT"/>
    <s v="mkalra(Manoj Kalra)"/>
    <x v="1"/>
    <x v="0"/>
    <x v="0"/>
  </r>
  <r>
    <n v="93"/>
    <x v="0"/>
    <s v="U3400 R6.4 - NIC3"/>
    <s v="016 - HAN"/>
    <s v="HCM - Import IHD"/>
    <s v="2-High"/>
    <s v=" "/>
    <d v="2024-09-24T00:00:00"/>
    <d v="1899-12-30T17:16:04"/>
    <s v="RBT"/>
    <s v="RBT"/>
    <s v="mkalra(Manoj Kalra)"/>
    <x v="0"/>
    <x v="0"/>
    <x v="0"/>
  </r>
  <r>
    <n v="94"/>
    <x v="0"/>
    <s v="U3400 R6.4 - NIC3"/>
    <s v="016 - HAN"/>
    <s v="HCM - Import ESI"/>
    <s v="2-High"/>
    <s v=" "/>
    <d v="2024-09-24T00:00:00"/>
    <d v="1899-12-30T17:16:03"/>
    <s v="RBT"/>
    <s v="RBT"/>
    <s v="mkalra(Manoj Kalra)"/>
    <x v="0"/>
    <x v="0"/>
    <x v="0"/>
  </r>
  <r>
    <n v="95"/>
    <x v="0"/>
    <s v="U3400 R6.4 - NIC3"/>
    <s v="016 - HAN"/>
    <s v="HCM - Sync ESI"/>
    <s v="2-High"/>
    <s v=" "/>
    <d v="2024-09-24T00:00:00"/>
    <d v="1899-12-30T17:16:07"/>
    <s v="RBT"/>
    <s v="RBT"/>
    <s v="mkalra(Manoj Kalra)"/>
    <x v="0"/>
    <x v="0"/>
    <x v="0"/>
  </r>
  <r>
    <n v="96"/>
    <x v="0"/>
    <s v="U3400 R6.4 - NIC3"/>
    <s v="016 - HAN"/>
    <s v="HCM - Provision ESI"/>
    <s v="2-High"/>
    <s v=" "/>
    <d v="2024-09-24T00:00:00"/>
    <d v="1899-12-30T17:16:06"/>
    <s v="RBT"/>
    <s v="RBT"/>
    <s v="mkalra(Manoj Kalra)"/>
    <x v="0"/>
    <x v="0"/>
    <x v="0"/>
  </r>
  <r>
    <n v="97"/>
    <x v="0"/>
    <s v="U3400 R6.4 - NIC3"/>
    <s v="016 - HAN"/>
    <s v="HCM -  Associate IHD to ESI"/>
    <s v="2-High"/>
    <s v=" "/>
    <d v="2024-09-24T00:00:00"/>
    <d v="1899-12-30T17:15:55"/>
    <s v="RBT"/>
    <s v="RBT"/>
    <s v="mkalra(Manoj Kalra)"/>
    <x v="0"/>
    <x v="0"/>
    <x v="0"/>
  </r>
  <r>
    <n v="98"/>
    <x v="0"/>
    <s v="U3400 R6.4 - NIC3"/>
    <s v="016 - HAN"/>
    <s v="HCM -  Join IHD to ESI"/>
    <s v="2-High"/>
    <s v=" "/>
    <d v="2024-09-24T00:00:00"/>
    <d v="1899-12-30T17:15:59"/>
    <s v="RBT"/>
    <s v="RBT"/>
    <s v="mkalra(Manoj Kalra)"/>
    <x v="0"/>
    <x v="0"/>
    <x v="0"/>
  </r>
  <r>
    <n v="99"/>
    <x v="0"/>
    <s v="U3400 R6.4 - NIC3"/>
    <s v="016 - HAN"/>
    <s v="HCM -  Ping IHD via ESI"/>
    <s v="2-High"/>
    <s v=" "/>
    <d v="2024-09-24T00:00:00"/>
    <d v="1899-12-30T17:16:16"/>
    <s v="RBT"/>
    <s v="RBT"/>
    <s v="mkalra(Manoj Kalra)"/>
    <x v="0"/>
    <x v="0"/>
    <x v="0"/>
  </r>
  <r>
    <n v="101"/>
    <x v="0"/>
    <s v="U3400 R6.4 - NIC3"/>
    <s v="016 - HAN"/>
    <s v="HCM -  Unjoin IHD to ESI"/>
    <s v="2-High"/>
    <s v=" "/>
    <d v="2024-09-24T00:00:00"/>
    <d v="1899-12-30T17:16:02"/>
    <s v="RBT"/>
    <s v="RBT"/>
    <s v="mkalra(Manoj Kalra)"/>
    <x v="0"/>
    <x v="0"/>
    <x v="0"/>
  </r>
  <r>
    <n v="102"/>
    <x v="0"/>
    <s v="U3400 R6.4 - NIC3"/>
    <s v="016 - HAN"/>
    <s v="HCM -  HAN secure key establishment"/>
    <s v="3-Medium"/>
    <s v=" "/>
    <d v="2024-09-24T00:00:00"/>
    <d v="1899-12-30T17:15:58"/>
    <s v="RBT"/>
    <s v="RBT"/>
    <s v="mkalra(Manoj Kalra)"/>
    <x v="0"/>
    <x v="0"/>
    <x v="0"/>
  </r>
  <r>
    <n v="103"/>
    <x v="0"/>
    <s v="U3400 R6.4 - NIC3"/>
    <s v="016 - HAN"/>
    <s v="HCM -  Enroll ESI to HCM program"/>
    <s v="3-Medium"/>
    <s v=" "/>
    <d v="2024-09-24T00:00:00"/>
    <d v="1899-12-30T17:15:57"/>
    <s v="RBT"/>
    <s v="RBT"/>
    <s v="mkalra(Manoj Kalra)"/>
    <x v="0"/>
    <x v="0"/>
    <x v="0"/>
  </r>
  <r>
    <n v="105"/>
    <x v="0"/>
    <s v="U3400 R6.4 - NIC3"/>
    <s v="016 - HAN"/>
    <s v="NC -  HAN radio diagnostic commands"/>
    <s v="2-High"/>
    <s v=" "/>
    <d v="2024-09-24T00:00:00"/>
    <d v="1899-12-30T17:16:08"/>
    <s v="RBT"/>
    <s v="RBT"/>
    <s v="mkalra(Manoj Kalra)"/>
    <x v="0"/>
    <x v="0"/>
    <x v="0"/>
  </r>
  <r>
    <n v="93"/>
    <x v="0"/>
    <s v="U3400 R6.4 - NIC5"/>
    <s v="016 - HAN"/>
    <s v="HCM - Import IHD"/>
    <s v="2-High"/>
    <s v=" "/>
    <d v="2024-09-24T00:00:00"/>
    <d v="1899-12-30T17:17:06"/>
    <s v="RBT"/>
    <s v="RBT"/>
    <s v="mkalra(Manoj Kalra)"/>
    <x v="0"/>
    <x v="0"/>
    <x v="0"/>
  </r>
  <r>
    <n v="94"/>
    <x v="0"/>
    <s v="U3400 R6.4 - NIC5"/>
    <s v="016 - HAN"/>
    <s v="HCM - Import ESI"/>
    <s v="2-High"/>
    <s v=" "/>
    <d v="2024-09-24T00:00:00"/>
    <d v="1899-12-30T17:17:08"/>
    <s v="RBT"/>
    <s v="RBT"/>
    <s v="mkalra(Manoj Kalra)"/>
    <x v="0"/>
    <x v="0"/>
    <x v="0"/>
  </r>
  <r>
    <n v="95"/>
    <x v="0"/>
    <s v="U3400 R6.4 - NIC5"/>
    <s v="016 - HAN"/>
    <s v="HCM - Sync ESI"/>
    <s v="2-High"/>
    <s v=" "/>
    <d v="2024-09-24T00:00:00"/>
    <d v="1899-12-30T17:17:04"/>
    <s v="RBT"/>
    <s v="RBT"/>
    <s v="mkalra(Manoj Kalra)"/>
    <x v="0"/>
    <x v="0"/>
    <x v="0"/>
  </r>
  <r>
    <n v="96"/>
    <x v="0"/>
    <s v="U3400 R6.4 - NIC5"/>
    <s v="016 - HAN"/>
    <s v="HCM - Provision ESI"/>
    <s v="2-High"/>
    <s v=" "/>
    <d v="2024-09-24T00:00:00"/>
    <d v="1899-12-30T17:17:05"/>
    <s v="RBT"/>
    <s v="RBT"/>
    <s v="mkalra(Manoj Kalra)"/>
    <x v="0"/>
    <x v="0"/>
    <x v="0"/>
  </r>
  <r>
    <n v="97"/>
    <x v="0"/>
    <s v="U3400 R6.4 - NIC5"/>
    <s v="016 - HAN"/>
    <s v="HCM -  Associate IHD to ESI"/>
    <s v="2-High"/>
    <s v=" "/>
    <d v="2024-09-24T00:00:00"/>
    <d v="1899-12-30T17:17:16"/>
    <s v="RBT"/>
    <s v="RBT"/>
    <s v="mkalra(Manoj Kalra)"/>
    <x v="0"/>
    <x v="0"/>
    <x v="0"/>
  </r>
  <r>
    <n v="98"/>
    <x v="0"/>
    <s v="U3400 R6.4 - NIC5"/>
    <s v="016 - HAN"/>
    <s v="HCM -  Join IHD to ESI"/>
    <s v="2-High"/>
    <s v=" "/>
    <d v="2024-09-24T00:00:00"/>
    <d v="1899-12-30T17:17:12"/>
    <s v="RBT"/>
    <s v="RBT"/>
    <s v="mkalra(Manoj Kalra)"/>
    <x v="0"/>
    <x v="0"/>
    <x v="0"/>
  </r>
  <r>
    <n v="99"/>
    <x v="0"/>
    <s v="U3400 R6.4 - NIC5"/>
    <s v="016 - HAN"/>
    <s v="HCM -  Ping IHD via ESI"/>
    <s v="2-High"/>
    <s v=" "/>
    <d v="2024-09-24T00:00:00"/>
    <d v="1899-12-30T17:17:10"/>
    <s v="RBT"/>
    <s v="RBT"/>
    <s v="mkalra(Manoj Kalra)"/>
    <x v="0"/>
    <x v="0"/>
    <x v="0"/>
  </r>
  <r>
    <n v="101"/>
    <x v="0"/>
    <s v="U3400 R6.4 - NIC5"/>
    <s v="016 - HAN"/>
    <s v="HCM -  Unjoin IHD to ESI"/>
    <s v="2-High"/>
    <s v=" "/>
    <d v="2024-09-24T00:00:00"/>
    <d v="1899-12-30T17:17:09"/>
    <s v="RBT"/>
    <s v="RBT"/>
    <s v="mkalra(Manoj Kalra)"/>
    <x v="0"/>
    <x v="0"/>
    <x v="0"/>
  </r>
  <r>
    <n v="102"/>
    <x v="0"/>
    <s v="U3400 R6.4 - NIC5"/>
    <s v="016 - HAN"/>
    <s v="HCM -  HAN secure key establishment"/>
    <s v="3-Medium"/>
    <s v=" "/>
    <d v="2024-09-24T00:00:00"/>
    <d v="1899-12-30T17:17:13"/>
    <s v="RBT"/>
    <s v="RBT"/>
    <s v="mkalra(Manoj Kalra)"/>
    <x v="0"/>
    <x v="0"/>
    <x v="0"/>
  </r>
  <r>
    <n v="103"/>
    <x v="0"/>
    <s v="U3400 R6.4 - NIC5"/>
    <s v="016 - HAN"/>
    <s v="HCM -  Enroll ESI to HCM program"/>
    <s v="3-Medium"/>
    <s v=" "/>
    <d v="2024-09-24T00:00:00"/>
    <d v="1899-12-30T17:17:14"/>
    <s v="RBT"/>
    <s v="RBT"/>
    <s v="mkalra(Manoj Kalra)"/>
    <x v="0"/>
    <x v="0"/>
    <x v="0"/>
  </r>
  <r>
    <n v="105"/>
    <x v="0"/>
    <s v="U3400 R6.4 - NIC5"/>
    <s v="016 - HAN"/>
    <s v="NC -  HAN radio diagnostic commands"/>
    <s v="2-High"/>
    <s v=" "/>
    <d v="2024-09-24T00:00:00"/>
    <d v="1899-12-30T17:17:02"/>
    <s v="RBT"/>
    <s v="RBT"/>
    <s v="mkalra(Manoj Kalra)"/>
    <x v="0"/>
    <x v="0"/>
    <x v="0"/>
  </r>
  <r>
    <n v="83"/>
    <x v="0"/>
    <s v="U3400 R6.4 - NIC3"/>
    <s v="017 - Supply Capacity Control"/>
    <s v="ESCC Normal Operation - Active Meters"/>
    <s v="1-Critical"/>
    <s v=" "/>
    <d v="2024-10-04T00:00:00"/>
    <d v="1899-12-30T10:51:25"/>
    <s v="Passed"/>
    <s v="Passed"/>
    <s v="mkalra(Manoj Kalra)"/>
    <x v="0"/>
    <x v="1"/>
    <x v="0"/>
  </r>
  <r>
    <n v="1695"/>
    <x v="0"/>
    <s v="U3400 R6.4 - NIC3"/>
    <s v="017 - Supply Capacity Control"/>
    <s v="ESCC Operation on Export"/>
    <s v="1-Critical"/>
    <s v=" "/>
    <d v="2024-10-07T00:00:00"/>
    <d v="1899-12-30T17:53:57"/>
    <s v="Passed"/>
    <s v="Passed"/>
    <s v="mkalra(Manoj Kalra)"/>
    <x v="0"/>
    <x v="1"/>
    <x v="0"/>
  </r>
  <r>
    <n v="83"/>
    <x v="0"/>
    <s v="U1300 R6.4 - NIC3"/>
    <s v="017 - Supply Capacity Control"/>
    <s v="ESCC Normal Operation - Active Meters"/>
    <s v="1-Critical"/>
    <s v=" "/>
    <d v="2024-10-08T00:00:00"/>
    <d v="1899-12-30T16:18:21"/>
    <s v="Passed"/>
    <s v="Passed"/>
    <s v="knjuguna(Kamau Njuguna)"/>
    <x v="1"/>
    <x v="1"/>
    <x v="0"/>
  </r>
  <r>
    <n v="1695"/>
    <x v="0"/>
    <s v="U1300 R6.4 - NIC3"/>
    <s v="017 - Supply Capacity Control"/>
    <s v="ESCC Operation on Export"/>
    <s v="1-Critical"/>
    <s v=" "/>
    <d v="2024-10-08T00:00:00"/>
    <d v="1899-12-30T16:41:40"/>
    <s v="Passed"/>
    <s v="Passed"/>
    <s v="knjuguna(Kamau Njuguna)"/>
    <x v="1"/>
    <x v="1"/>
    <x v="0"/>
  </r>
  <r>
    <n v="83"/>
    <x v="0"/>
    <s v="U3400 R6.4 - NIC5"/>
    <s v="017 - Supply Capacity Control"/>
    <s v="ESCC Normal Operation - Active Meters"/>
    <s v="1-Critical"/>
    <s v=" "/>
    <d v="2024-10-04T00:00:00"/>
    <d v="1899-12-30T10:51:23"/>
    <s v="Passed"/>
    <s v="Passed"/>
    <s v="mkalra(Manoj Kalra)"/>
    <x v="0"/>
    <x v="1"/>
    <x v="0"/>
  </r>
  <r>
    <n v="1695"/>
    <x v="0"/>
    <s v="U3400 R6.4 - NIC5"/>
    <s v="017 - Supply Capacity Control"/>
    <s v="ESCC Operation on Export"/>
    <s v="1-Critical"/>
    <s v=" "/>
    <d v="2024-10-07T00:00:00"/>
    <d v="1899-12-30T17:53:53"/>
    <s v="Passed"/>
    <s v="Passed"/>
    <s v="mkalra(Manoj Kalra)"/>
    <x v="0"/>
    <x v="1"/>
    <x v="0"/>
  </r>
  <r>
    <n v="83"/>
    <x v="0"/>
    <s v="U1300 R6.4 - NIC5"/>
    <s v="017 - Supply Capacity Control"/>
    <s v="ESCC Normal Operation - Active Meters"/>
    <s v="1-Critical"/>
    <s v=" "/>
    <d v="2024-10-08T00:00:00"/>
    <d v="1899-12-30T16:19:14"/>
    <s v="Passed"/>
    <s v="Passed"/>
    <s v="knjuguna(Kamau Njuguna)"/>
    <x v="1"/>
    <x v="1"/>
    <x v="0"/>
  </r>
  <r>
    <n v="1695"/>
    <x v="0"/>
    <s v="U1300 R6.4 - NIC5"/>
    <s v="017 - Supply Capacity Control"/>
    <s v="ESCC Operation on Export"/>
    <s v="1-Critical"/>
    <s v=" "/>
    <d v="2024-10-08T00:00:00"/>
    <d v="1899-12-30T16:42:22"/>
    <s v="Passed"/>
    <s v="Passed"/>
    <s v="knjuguna(Kamau Njuguna)"/>
    <x v="1"/>
    <x v="1"/>
    <x v="0"/>
  </r>
  <r>
    <n v="84"/>
    <x v="0"/>
    <s v="U3400 R6.4 - NIC5"/>
    <s v="018 - Security"/>
    <s v="Meter tamper - terminal cover"/>
    <s v="1-Critical"/>
    <s v=" "/>
    <d v="2024-10-10T00:00:00"/>
    <d v="1899-12-30T12:32:51"/>
    <s v="Passed"/>
    <s v="Passed"/>
    <s v="mkalra(Manoj Kalra)"/>
    <x v="0"/>
    <x v="1"/>
    <x v="0"/>
  </r>
  <r>
    <n v="84"/>
    <x v="0"/>
    <s v="U3400 R6.4 - NIC3"/>
    <s v="018 - Security"/>
    <s v="Meter tamper - terminal cover"/>
    <s v="1-Critical"/>
    <s v=" "/>
    <d v="2024-10-10T00:00:00"/>
    <d v="1899-12-30T12:32:00"/>
    <s v="Passed"/>
    <s v="Passed"/>
    <s v="mkalra(Manoj Kalra)"/>
    <x v="0"/>
    <x v="1"/>
    <x v="0"/>
  </r>
  <r>
    <n v="84"/>
    <x v="0"/>
    <s v="U1300 R6.4 - NIC5"/>
    <s v="018 - Security"/>
    <s v="Meter tamper - terminal cover"/>
    <s v="1-Critical"/>
    <s v=" "/>
    <d v="2024-10-07T00:00:00"/>
    <d v="1899-12-30T16:31:35"/>
    <s v="Passed"/>
    <s v="Passed"/>
    <s v="knjuguna(Kamau Njuguna)"/>
    <x v="1"/>
    <x v="1"/>
    <x v="0"/>
  </r>
  <r>
    <n v="84"/>
    <x v="0"/>
    <s v="U1300 R6.4 - NIC3"/>
    <s v="018 - Security"/>
    <s v="Meter tamper - terminal cover"/>
    <s v="1-Critical"/>
    <s v=" "/>
    <d v="2024-10-07T00:00:00"/>
    <d v="1899-12-30T16:30:27"/>
    <s v="Passed"/>
    <s v="Passed"/>
    <s v="knjuguna(Kamau Njuguna)"/>
    <x v="1"/>
    <x v="1"/>
    <x v="0"/>
  </r>
  <r>
    <n v="1793"/>
    <x v="0"/>
    <s v="U3400 R6.4 - NIC3"/>
    <s v="020 - Broadcast"/>
    <s v="Broadcast - Load contactor connect via broadcast (immediate, no randomisation)"/>
    <s v="2-High"/>
    <s v=" "/>
    <d v="2024-10-04T00:00:00"/>
    <d v="1899-12-30T15:03:09"/>
    <s v="Passed"/>
    <s v="Passed"/>
    <s v="mkalra(Manoj Kalra)"/>
    <x v="0"/>
    <x v="1"/>
    <x v="0"/>
  </r>
  <r>
    <n v="1794"/>
    <x v="0"/>
    <s v="U3400 R6.4 - NIC3"/>
    <s v="020 - Broadcast"/>
    <s v="Broadcast - Load contactor connect via broadcast (immediate, randomisation)"/>
    <s v="2-High"/>
    <s v=" "/>
    <d v="2024-10-04T00:00:00"/>
    <d v="1899-12-30T15:29:15"/>
    <s v="Failed"/>
    <s v="Failed"/>
    <s v="mkalra(Manoj Kalra)"/>
    <x v="0"/>
    <x v="1"/>
    <x v="0"/>
  </r>
  <r>
    <n v="1795"/>
    <x v="0"/>
    <s v="U3400 R6.4 - NIC3"/>
    <s v="020 - Broadcast"/>
    <s v="Broadcast - Load contactor connect via broadcast (scheduled, no randomisation)"/>
    <s v="2-High"/>
    <s v=" "/>
    <d v="2024-10-04T00:00:00"/>
    <d v="1899-12-30T15:49:20"/>
    <s v="Passed"/>
    <s v="Passed"/>
    <s v="mkalra(Manoj Kalra)"/>
    <x v="0"/>
    <x v="1"/>
    <x v="0"/>
  </r>
  <r>
    <n v="1796"/>
    <x v="0"/>
    <s v="U3400 R6.4 - NIC3"/>
    <s v="020 - Broadcast"/>
    <s v="Broadcast - Load contactor disconnect via broadcast (immediate, no randomisation)"/>
    <s v="2-High"/>
    <s v=" "/>
    <d v="2024-10-07T00:00:00"/>
    <d v="1899-12-30T10:52:12"/>
    <s v="Passed"/>
    <s v="Passed"/>
    <s v="mkalra(Manoj Kalra)"/>
    <x v="0"/>
    <x v="1"/>
    <x v="0"/>
  </r>
  <r>
    <n v="1797"/>
    <x v="0"/>
    <s v="U3400 R6.4 - NIC3"/>
    <s v="020 - Broadcast"/>
    <s v="Broadcast - Load contactor disconnect via broadcast (immediate, randomisation)"/>
    <s v="2-High"/>
    <s v=" "/>
    <d v="2024-10-07T00:00:00"/>
    <d v="1899-12-30T11:15:15"/>
    <s v="Failed"/>
    <s v="Failed"/>
    <s v="mkalra(Manoj Kalra)"/>
    <x v="0"/>
    <x v="1"/>
    <x v="0"/>
  </r>
  <r>
    <n v="1798"/>
    <x v="0"/>
    <s v="U3400 R6.4 - NIC3"/>
    <s v="020 - Broadcast"/>
    <s v="Broadcast - Load contactor disconnect via broadcast (scheduled, no randomisation)"/>
    <s v="2-High"/>
    <s v=" "/>
    <d v="2024-10-07T00:00:00"/>
    <d v="1899-12-30T11:42:24"/>
    <s v="Passed"/>
    <s v="Passed"/>
    <s v="mkalra(Manoj Kalra)"/>
    <x v="0"/>
    <x v="1"/>
    <x v="0"/>
  </r>
  <r>
    <n v="129"/>
    <x v="0"/>
    <s v="U3400 R6.4 - NIC3"/>
    <s v="020 - Broadcast"/>
    <s v="Broadcast 01 - Broadcast Groups - UIQ to meter"/>
    <s v="2-High"/>
    <s v=" "/>
    <d v="2024-09-25T00:00:00"/>
    <d v="1899-12-30T11:58:42"/>
    <s v="Passed"/>
    <s v="Passed"/>
    <s v="mkalra(Manoj Kalra)"/>
    <x v="0"/>
    <x v="1"/>
    <x v="0"/>
  </r>
  <r>
    <n v="130"/>
    <x v="0"/>
    <s v="U3400 R6.4 - NIC3"/>
    <s v="020 - Broadcast"/>
    <s v="Broadcast 02 - Broadcast Groups - meter to UIQ"/>
    <s v="2-High"/>
    <s v=" "/>
    <d v="2024-09-25T00:00:00"/>
    <d v="1899-12-30T13:33:24"/>
    <s v="Passed"/>
    <s v="Passed"/>
    <s v="mkalra(Manoj Kalra)"/>
    <x v="0"/>
    <x v="1"/>
    <x v="0"/>
  </r>
  <r>
    <n v="137"/>
    <x v="0"/>
    <s v="U3400 R6.4 - NIC3"/>
    <s v="020 - Broadcast"/>
    <s v="Broadcast 08 - ESCC opeation via broadcast"/>
    <s v="2-High"/>
    <s v=" "/>
    <d v="2024-10-04T00:00:00"/>
    <d v="1899-12-30T13:03:58"/>
    <s v="Passed"/>
    <s v="Passed"/>
    <s v="mkalra(Manoj Kalra)"/>
    <x v="0"/>
    <x v="1"/>
    <x v="0"/>
  </r>
  <r>
    <n v="136"/>
    <x v="0"/>
    <s v="U3400 R6.4 - NIC3"/>
    <s v="020 - Broadcast"/>
    <s v="Broadcast 09 - Load contactor opeation via broadcast"/>
    <s v="2-High"/>
    <s v=" "/>
    <d v="2024-10-04T00:00:00"/>
    <d v="1899-12-30T14:28:22"/>
    <s v="Passed"/>
    <s v="Passed"/>
    <s v="mkalra(Manoj Kalra)"/>
    <x v="0"/>
    <x v="1"/>
    <x v="0"/>
  </r>
  <r>
    <n v="1793"/>
    <x v="0"/>
    <s v="U1300 R6.4 - NIC3"/>
    <s v="020 - Broadcast"/>
    <s v="Broadcast - Load contactor connect via broadcast (immediate, no randomisation)"/>
    <s v="2-High"/>
    <s v=" "/>
    <d v="2024-09-26T00:00:00"/>
    <d v="1899-12-30T12:11:29"/>
    <s v="Passed"/>
    <s v="Passed"/>
    <s v="knjuguna(Kamau Njuguna)"/>
    <x v="1"/>
    <x v="1"/>
    <x v="0"/>
  </r>
  <r>
    <n v="1794"/>
    <x v="0"/>
    <s v="U1300 R6.4 - NIC3"/>
    <s v="020 - Broadcast"/>
    <s v="Broadcast - Load contactor connect via broadcast (immediate, randomisation)"/>
    <s v="2-High"/>
    <s v=" "/>
    <d v="2024-09-26T00:00:00"/>
    <d v="1899-12-30T13:10:39"/>
    <s v="Failed"/>
    <s v="Failed"/>
    <s v="knjuguna(Kamau Njuguna)"/>
    <x v="1"/>
    <x v="1"/>
    <x v="0"/>
  </r>
  <r>
    <n v="1795"/>
    <x v="0"/>
    <s v="U1300 R6.4 - NIC3"/>
    <s v="020 - Broadcast"/>
    <s v="Broadcast - Load contactor connect via broadcast (scheduled, no randomisation)"/>
    <s v="2-High"/>
    <s v=" "/>
    <d v="2024-09-26T00:00:00"/>
    <d v="1899-12-30T14:11:05"/>
    <s v="Passed"/>
    <s v="Passed"/>
    <s v="knjuguna(Kamau Njuguna)"/>
    <x v="1"/>
    <x v="1"/>
    <x v="0"/>
  </r>
  <r>
    <n v="1796"/>
    <x v="0"/>
    <s v="U1300 R6.4 - NIC3"/>
    <s v="020 - Broadcast"/>
    <s v="Broadcast - Load contactor disconnect via broadcast (immediate, no randomisation)"/>
    <s v="2-High"/>
    <s v=" "/>
    <d v="2024-09-30T00:00:00"/>
    <d v="1899-12-30T09:42:19"/>
    <s v="Passed"/>
    <s v="Passed"/>
    <s v="knjuguna(Kamau Njuguna)"/>
    <x v="1"/>
    <x v="1"/>
    <x v="0"/>
  </r>
  <r>
    <n v="1797"/>
    <x v="0"/>
    <s v="U1300 R6.4 - NIC3"/>
    <s v="020 - Broadcast"/>
    <s v="Broadcast - Load contactor disconnect via broadcast (immediate, randomisation)"/>
    <s v="2-High"/>
    <s v=" "/>
    <d v="2024-09-30T00:00:00"/>
    <d v="1899-12-30T10:12:29"/>
    <s v="Failed"/>
    <s v="Failed"/>
    <s v="knjuguna(Kamau Njuguna)"/>
    <x v="1"/>
    <x v="1"/>
    <x v="0"/>
  </r>
  <r>
    <n v="1798"/>
    <x v="0"/>
    <s v="U1300 R6.4 - NIC3"/>
    <s v="020 - Broadcast"/>
    <s v="Broadcast - Load contactor disconnect via broadcast (scheduled, no randomisation)"/>
    <s v="2-High"/>
    <s v=" "/>
    <d v="2024-09-30T00:00:00"/>
    <d v="1899-12-30T10:43:50"/>
    <s v="Passed"/>
    <s v="Passed"/>
    <s v="knjuguna(Kamau Njuguna)"/>
    <x v="1"/>
    <x v="1"/>
    <x v="0"/>
  </r>
  <r>
    <n v="129"/>
    <x v="0"/>
    <s v="U1300 R6.4 - NIC3"/>
    <s v="020 - Broadcast"/>
    <s v="Broadcast 01 - Broadcast Groups - UIQ to meter"/>
    <s v="2-High"/>
    <s v=" "/>
    <d v="2024-09-20T00:00:00"/>
    <d v="1899-12-30T16:50:31"/>
    <s v="Passed"/>
    <s v="Passed"/>
    <s v="knjuguna(Kamau Njuguna)"/>
    <x v="1"/>
    <x v="1"/>
    <x v="0"/>
  </r>
  <r>
    <n v="130"/>
    <x v="0"/>
    <s v="U1300 R6.4 - NIC3"/>
    <s v="020 - Broadcast"/>
    <s v="Broadcast 02 - Broadcast Groups - meter to UIQ"/>
    <s v="2-High"/>
    <s v=" "/>
    <d v="2024-09-26T00:00:00"/>
    <d v="1899-12-30T11:03:17"/>
    <s v="Passed"/>
    <s v="Passed"/>
    <s v="knjuguna(Kamau Njuguna)"/>
    <x v="1"/>
    <x v="1"/>
    <x v="0"/>
  </r>
  <r>
    <n v="137"/>
    <x v="0"/>
    <s v="U1300 R6.4 - NIC3"/>
    <s v="020 - Broadcast"/>
    <s v="Broadcast 08 - ESCC opeation via broadcast"/>
    <s v="2-High"/>
    <s v=" "/>
    <d v="2024-09-30T00:00:00"/>
    <d v="1899-12-30T12:02:11"/>
    <s v="Passed"/>
    <s v="Passed"/>
    <s v="knjuguna(Kamau Njuguna)"/>
    <x v="1"/>
    <x v="1"/>
    <x v="0"/>
  </r>
  <r>
    <n v="136"/>
    <x v="0"/>
    <s v="U1300 R6.4 - NIC3"/>
    <s v="020 - Broadcast"/>
    <s v="Broadcast 09 - Load contactor opeation via broadcast"/>
    <s v="2-High"/>
    <s v=" "/>
    <d v="2024-09-30T00:00:00"/>
    <d v="1899-12-30T17:12:41"/>
    <s v="Passed"/>
    <s v="Passed"/>
    <s v="knjuguna(Kamau Njuguna)"/>
    <x v="1"/>
    <x v="1"/>
    <x v="0"/>
  </r>
  <r>
    <n v="1793"/>
    <x v="0"/>
    <s v="U3400 R6.4 - NIC5"/>
    <s v="020 - Broadcast"/>
    <s v="Broadcast - Load contactor connect via broadcast (immediate, no randomisation)"/>
    <s v="2-High"/>
    <s v=" "/>
    <d v="2024-10-04T00:00:00"/>
    <d v="1899-12-30T15:03:52"/>
    <s v="Passed"/>
    <s v="Passed"/>
    <s v="mkalra(Manoj Kalra)"/>
    <x v="0"/>
    <x v="1"/>
    <x v="0"/>
  </r>
  <r>
    <n v="1794"/>
    <x v="0"/>
    <s v="U3400 R6.4 - NIC5"/>
    <s v="020 - Broadcast"/>
    <s v="Broadcast - Load contactor connect via broadcast (immediate, randomisation)"/>
    <s v="2-High"/>
    <s v=" "/>
    <d v="2024-10-04T00:00:00"/>
    <d v="1899-12-30T15:28:28"/>
    <s v="Failed"/>
    <s v="Failed"/>
    <s v="mkalra(Manoj Kalra)"/>
    <x v="0"/>
    <x v="1"/>
    <x v="0"/>
  </r>
  <r>
    <n v="1795"/>
    <x v="0"/>
    <s v="U3400 R6.4 - NIC5"/>
    <s v="020 - Broadcast"/>
    <s v="Broadcast - Load contactor connect via broadcast (scheduled, no randomisation)"/>
    <s v="2-High"/>
    <s v=" "/>
    <d v="2024-10-04T00:00:00"/>
    <d v="1899-12-30T15:49:03"/>
    <s v="Passed"/>
    <s v="Passed"/>
    <s v="mkalra(Manoj Kalra)"/>
    <x v="0"/>
    <x v="1"/>
    <x v="0"/>
  </r>
  <r>
    <n v="1796"/>
    <x v="0"/>
    <s v="U3400 R6.4 - NIC5"/>
    <s v="020 - Broadcast"/>
    <s v="Broadcast - Load contactor disconnect via broadcast (immediate, no randomisation)"/>
    <s v="2-High"/>
    <s v=" "/>
    <d v="2024-10-07T00:00:00"/>
    <d v="1899-12-30T10:52:13"/>
    <s v="Passed"/>
    <s v="Passed"/>
    <s v="mkalra(Manoj Kalra)"/>
    <x v="0"/>
    <x v="1"/>
    <x v="0"/>
  </r>
  <r>
    <n v="1797"/>
    <x v="0"/>
    <s v="U3400 R6.4 - NIC5"/>
    <s v="020 - Broadcast"/>
    <s v="Broadcast - Load contactor disconnect via broadcast (immediate, randomisation)"/>
    <s v="2-High"/>
    <s v=" "/>
    <d v="2024-10-07T00:00:00"/>
    <d v="1899-12-30T11:15:12"/>
    <s v="Failed"/>
    <s v="Failed"/>
    <s v="mkalra(Manoj Kalra)"/>
    <x v="0"/>
    <x v="1"/>
    <x v="0"/>
  </r>
  <r>
    <n v="1798"/>
    <x v="0"/>
    <s v="U3400 R6.4 - NIC5"/>
    <s v="020 - Broadcast"/>
    <s v="Broadcast - Load contactor disconnect via broadcast (scheduled, no randomisation)"/>
    <s v="2-High"/>
    <s v=" "/>
    <d v="2024-10-07T00:00:00"/>
    <d v="1899-12-30T11:42:26"/>
    <s v="Passed"/>
    <s v="Passed"/>
    <s v="mkalra(Manoj Kalra)"/>
    <x v="0"/>
    <x v="1"/>
    <x v="0"/>
  </r>
  <r>
    <n v="129"/>
    <x v="0"/>
    <s v="U3400 R6.4 - NIC5"/>
    <s v="020 - Broadcast"/>
    <s v="Broadcast 01 - Broadcast Groups - UIQ to meter"/>
    <s v="2-High"/>
    <s v=" "/>
    <d v="2024-09-25T00:00:00"/>
    <d v="1899-12-30T11:59:45"/>
    <s v="Passed"/>
    <s v="Passed"/>
    <s v="mkalra(Manoj Kalra)"/>
    <x v="0"/>
    <x v="1"/>
    <x v="0"/>
  </r>
  <r>
    <n v="130"/>
    <x v="0"/>
    <s v="U3400 R6.4 - NIC5"/>
    <s v="020 - Broadcast"/>
    <s v="Broadcast 02 - Broadcast Groups - meter to UIQ"/>
    <s v="2-High"/>
    <s v=" "/>
    <d v="2024-09-25T00:00:00"/>
    <d v="1899-12-30T13:33:20"/>
    <s v="Passed"/>
    <s v="Passed"/>
    <s v="mkalra(Manoj Kalra)"/>
    <x v="0"/>
    <x v="1"/>
    <x v="0"/>
  </r>
  <r>
    <n v="137"/>
    <x v="0"/>
    <s v="U3400 R6.4 - NIC5"/>
    <s v="020 - Broadcast"/>
    <s v="Broadcast 08 - ESCC opeation via broadcast"/>
    <s v="2-High"/>
    <s v=" "/>
    <d v="2024-10-04T00:00:00"/>
    <d v="1899-12-30T13:03:53"/>
    <s v="Passed"/>
    <s v="Passed"/>
    <s v="mkalra(Manoj Kalra)"/>
    <x v="0"/>
    <x v="1"/>
    <x v="0"/>
  </r>
  <r>
    <n v="136"/>
    <x v="0"/>
    <s v="U3400 R6.4 - NIC5"/>
    <s v="020 - Broadcast"/>
    <s v="Broadcast 09 - Load contactor opeation via broadcast"/>
    <s v="2-High"/>
    <s v=" "/>
    <d v="2024-10-04T00:00:00"/>
    <d v="1899-12-30T14:28:17"/>
    <s v="Passed"/>
    <s v="Passed"/>
    <s v="mkalra(Manoj Kalra)"/>
    <x v="0"/>
    <x v="1"/>
    <x v="0"/>
  </r>
  <r>
    <n v="1793"/>
    <x v="0"/>
    <s v="U1300 R6.4 - NIC5"/>
    <s v="020 - Broadcast"/>
    <s v="Broadcast - Load contactor connect via broadcast (immediate, no randomisation)"/>
    <s v="2-High"/>
    <s v=" "/>
    <d v="2024-09-26T00:00:00"/>
    <d v="1899-12-30T12:15:02"/>
    <s v="Passed"/>
    <s v="Passed"/>
    <s v="knjuguna(Kamau Njuguna)"/>
    <x v="1"/>
    <x v="1"/>
    <x v="0"/>
  </r>
  <r>
    <n v="1794"/>
    <x v="0"/>
    <s v="U1300 R6.4 - NIC5"/>
    <s v="020 - Broadcast"/>
    <s v="Broadcast - Load contactor connect via broadcast (immediate, randomisation)"/>
    <s v="2-High"/>
    <s v=" "/>
    <d v="2024-09-26T00:00:00"/>
    <d v="1899-12-30T13:10:13"/>
    <s v="Failed"/>
    <s v="Failed"/>
    <s v="knjuguna(Kamau Njuguna)"/>
    <x v="1"/>
    <x v="1"/>
    <x v="0"/>
  </r>
  <r>
    <n v="1795"/>
    <x v="0"/>
    <s v="U1300 R6.4 - NIC5"/>
    <s v="020 - Broadcast"/>
    <s v="Broadcast - Load contactor connect via broadcast (scheduled, no randomisation)"/>
    <s v="2-High"/>
    <s v=" "/>
    <d v="2024-09-26T00:00:00"/>
    <d v="1899-12-30T14:13:31"/>
    <s v="Passed"/>
    <s v="Passed"/>
    <s v="knjuguna(Kamau Njuguna)"/>
    <x v="1"/>
    <x v="1"/>
    <x v="0"/>
  </r>
  <r>
    <n v="1796"/>
    <x v="0"/>
    <s v="U1300 R6.4 - NIC5"/>
    <s v="020 - Broadcast"/>
    <s v="Broadcast - Load contactor disconnect via broadcast (immediate, no randomisation)"/>
    <s v="2-High"/>
    <s v=" "/>
    <d v="2024-09-30T00:00:00"/>
    <d v="1899-12-30T09:43:16"/>
    <s v="Passed"/>
    <s v="Passed"/>
    <s v="knjuguna(Kamau Njuguna)"/>
    <x v="1"/>
    <x v="1"/>
    <x v="0"/>
  </r>
  <r>
    <n v="1797"/>
    <x v="0"/>
    <s v="U1300 R6.4 - NIC5"/>
    <s v="020 - Broadcast"/>
    <s v="Broadcast - Load contactor disconnect via broadcast (immediate, randomisation)"/>
    <s v="2-High"/>
    <s v=" "/>
    <d v="2024-10-16T00:00:00"/>
    <d v="1899-12-30T14:39:01"/>
    <s v="Failed"/>
    <s v="Failed"/>
    <s v="knjuguna(Kamau Njuguna)"/>
    <x v="1"/>
    <x v="1"/>
    <x v="0"/>
  </r>
  <r>
    <n v="1798"/>
    <x v="0"/>
    <s v="U1300 R6.4 - NIC5"/>
    <s v="020 - Broadcast"/>
    <s v="Broadcast - Load contactor disconnect via broadcast (scheduled, no randomisation)"/>
    <s v="2-High"/>
    <s v=" "/>
    <d v="2024-09-30T00:00:00"/>
    <d v="1899-12-30T10:42:09"/>
    <s v="Passed"/>
    <s v="Passed"/>
    <s v="knjuguna(Kamau Njuguna)"/>
    <x v="1"/>
    <x v="1"/>
    <x v="0"/>
  </r>
  <r>
    <n v="129"/>
    <x v="0"/>
    <s v="U1300 R6.4 - NIC5"/>
    <s v="020 - Broadcast"/>
    <s v="Broadcast 01 - Broadcast Groups - UIQ to meter"/>
    <s v="2-High"/>
    <s v=" "/>
    <d v="2024-09-20T00:00:00"/>
    <d v="1899-12-30T16:37:23"/>
    <s v="Passed"/>
    <s v="Passed"/>
    <s v="knjuguna(Kamau Njuguna)"/>
    <x v="1"/>
    <x v="1"/>
    <x v="0"/>
  </r>
  <r>
    <n v="130"/>
    <x v="0"/>
    <s v="U1300 R6.4 - NIC5"/>
    <s v="020 - Broadcast"/>
    <s v="Broadcast 02 - Broadcast Groups - meter to UIQ"/>
    <s v="2-High"/>
    <s v=" "/>
    <d v="2024-09-26T00:00:00"/>
    <d v="1899-12-30T11:02:34"/>
    <s v="Passed"/>
    <s v="Passed"/>
    <s v="knjuguna(Kamau Njuguna)"/>
    <x v="1"/>
    <x v="1"/>
    <x v="0"/>
  </r>
  <r>
    <n v="137"/>
    <x v="0"/>
    <s v="U1300 R6.4 - NIC5"/>
    <s v="020 - Broadcast"/>
    <s v="Broadcast 08 - ESCC opeation via broadcast"/>
    <s v="2-High"/>
    <s v=" "/>
    <d v="2024-09-30T00:00:00"/>
    <d v="1899-12-30T12:02:57"/>
    <s v="Passed"/>
    <s v="Passed"/>
    <s v="knjuguna(Kamau Njuguna)"/>
    <x v="1"/>
    <x v="1"/>
    <x v="0"/>
  </r>
  <r>
    <n v="136"/>
    <x v="0"/>
    <s v="U1300 R6.4 - NIC5"/>
    <s v="020 - Broadcast"/>
    <s v="Broadcast 09 - Load contactor opeation via broadcast"/>
    <s v="2-High"/>
    <s v=" "/>
    <d v="2024-09-30T00:00:00"/>
    <d v="1899-12-30T17:12:32"/>
    <s v="Passed"/>
    <s v="Passed"/>
    <s v="knjuguna(Kamau Njuguna)"/>
    <x v="1"/>
    <x v="1"/>
    <x v="0"/>
  </r>
  <r>
    <n v="132"/>
    <x v="0"/>
    <s v="U1300 R6.4 - NIC3"/>
    <s v="020 - Broadcast"/>
    <s v="Broadcast 04 - Confirm the range of broadcast groups"/>
    <s v="2-High"/>
    <s v=" "/>
    <d v="2024-10-08T00:00:00"/>
    <d v="1899-12-30T17:08:04"/>
    <s v="Passed"/>
    <s v="Passed"/>
    <s v="knjuguna(Kamau Njuguna)"/>
    <x v="1"/>
    <x v="1"/>
    <x v="0"/>
  </r>
  <r>
    <n v="132"/>
    <x v="0"/>
    <s v="U1300 R6.4 - NIC5"/>
    <s v="020 - Broadcast"/>
    <s v="Broadcast 04 - Confirm the range of broadcast groups"/>
    <s v="2-High"/>
    <s v=" "/>
    <d v="2024-10-08T00:00:00"/>
    <d v="1899-12-30T17:07:54"/>
    <s v="Passed"/>
    <s v="Passed"/>
    <s v="knjuguna(Kamau Njuguna)"/>
    <x v="1"/>
    <x v="1"/>
    <x v="0"/>
  </r>
  <r>
    <n v="132"/>
    <x v="0"/>
    <s v="U3400 R6.4 - NIC3"/>
    <s v="020 - Broadcast"/>
    <s v="Broadcast 04 - Confirm the range of broadcast groups"/>
    <s v="2-High"/>
    <s v=" "/>
    <d v="2024-09-25T00:00:00"/>
    <d v="1899-12-30T13:44:40"/>
    <s v="Passed"/>
    <s v="Passed"/>
    <s v="mkalra(Manoj Kalra)"/>
    <x v="0"/>
    <x v="1"/>
    <x v="0"/>
  </r>
  <r>
    <n v="132"/>
    <x v="0"/>
    <s v="U3400 R6.4 - NIC5"/>
    <s v="020 - Broadcast"/>
    <s v="Broadcast 04 - Confirm the range of broadcast groups"/>
    <s v="2-High"/>
    <s v=" "/>
    <d v="2024-09-25T00:00:00"/>
    <d v="1899-12-30T13:44:37"/>
    <s v="Passed"/>
    <s v="Passed"/>
    <s v="mkalra(Manoj Kalra)"/>
    <x v="0"/>
    <x v="1"/>
    <x v="0"/>
  </r>
  <r>
    <n v="133"/>
    <x v="0"/>
    <s v="U3400 R6.4 - NIC5"/>
    <s v="020 - Broadcast"/>
    <s v="Broadcast 05 - Broadcast cert upload via netmgr"/>
    <s v="2-High"/>
    <s v=" "/>
    <d v="2024-09-24T00:00:00"/>
    <d v="1899-12-30T17:17:21"/>
    <s v="RBT"/>
    <s v="RBT"/>
    <s v="mkalra(Manoj Kalra)"/>
    <x v="0"/>
    <x v="0"/>
    <x v="0"/>
  </r>
  <r>
    <n v="134"/>
    <x v="0"/>
    <s v="U3400 R6.4 - NIC5"/>
    <s v="020 - Broadcast"/>
    <s v="Broadcast 07 - Broadcast cert upload via Network Centre"/>
    <s v="2-High"/>
    <s v=" "/>
    <d v="2024-09-24T00:00:00"/>
    <d v="1899-12-30T17:17:19"/>
    <s v="RBT"/>
    <s v="RBT"/>
    <s v="mkalra(Manoj Kalra)"/>
    <x v="0"/>
    <x v="0"/>
    <x v="0"/>
  </r>
  <r>
    <n v="135"/>
    <x v="0"/>
    <s v="U3400 R6.4 - NIC5"/>
    <s v="020 - Broadcast"/>
    <s v="Broadcast 06 - Broadcast cert upload via FSU"/>
    <s v="2-High"/>
    <s v=" "/>
    <d v="2024-09-24T00:00:00"/>
    <d v="1899-12-30T17:17:26"/>
    <s v="RBT"/>
    <s v="RBT"/>
    <s v="mkalra(Manoj Kalra)"/>
    <x v="0"/>
    <x v="0"/>
    <x v="0"/>
  </r>
  <r>
    <n v="133"/>
    <x v="0"/>
    <s v="U3400 R6.4 - NIC3"/>
    <s v="020 - Broadcast"/>
    <s v="Broadcast 05 - Broadcast cert upload via netmgr"/>
    <s v="2-High"/>
    <s v=" "/>
    <d v="2024-09-24T00:00:00"/>
    <d v="1899-12-30T17:16:18"/>
    <s v="RBT"/>
    <s v="RBT"/>
    <s v="mkalra(Manoj Kalra)"/>
    <x v="0"/>
    <x v="0"/>
    <x v="0"/>
  </r>
  <r>
    <n v="134"/>
    <x v="0"/>
    <s v="U3400 R6.4 - NIC3"/>
    <s v="020 - Broadcast"/>
    <s v="Broadcast 07 - Broadcast cert upload via Network Centre"/>
    <s v="2-High"/>
    <s v=" "/>
    <d v="2024-09-24T00:00:00"/>
    <d v="1899-12-30T17:15:53"/>
    <s v="RBT"/>
    <s v="RBT"/>
    <s v="mkalra(Manoj Kalra)"/>
    <x v="0"/>
    <x v="0"/>
    <x v="0"/>
  </r>
  <r>
    <n v="135"/>
    <x v="0"/>
    <s v="U3400 R6.4 - NIC3"/>
    <s v="020 - Broadcast"/>
    <s v="Broadcast 06 - Broadcast cert upload via FSU"/>
    <s v="2-High"/>
    <s v=" "/>
    <d v="2024-09-24T00:00:00"/>
    <d v="1899-12-30T17:15:51"/>
    <s v="RBT"/>
    <s v="RBT"/>
    <s v="mkalra(Manoj Kalra)"/>
    <x v="0"/>
    <x v="0"/>
    <x v="0"/>
  </r>
  <r>
    <n v="133"/>
    <x v="0"/>
    <s v="U1300 R6.4 - NIC5"/>
    <s v="020 - Broadcast"/>
    <s v="Broadcast 05 - Broadcast cert upload via netmgr"/>
    <s v="2-High"/>
    <s v=" "/>
    <d v="2024-09-24T00:00:00"/>
    <d v="1899-12-30T17:15:20"/>
    <s v="RBT"/>
    <s v="RBT"/>
    <s v="mkalra(Manoj Kalra)"/>
    <x v="1"/>
    <x v="0"/>
    <x v="0"/>
  </r>
  <r>
    <n v="134"/>
    <x v="0"/>
    <s v="U1300 R6.4 - NIC5"/>
    <s v="020 - Broadcast"/>
    <s v="Broadcast 07 - Broadcast cert upload via Network Centre"/>
    <s v="2-High"/>
    <s v=" "/>
    <d v="2024-09-24T00:00:00"/>
    <d v="1899-12-30T17:15:23"/>
    <s v="RBT"/>
    <s v="RBT"/>
    <s v="mkalra(Manoj Kalra)"/>
    <x v="1"/>
    <x v="0"/>
    <x v="0"/>
  </r>
  <r>
    <n v="135"/>
    <x v="0"/>
    <s v="U1300 R6.4 - NIC5"/>
    <s v="020 - Broadcast"/>
    <s v="Broadcast 06 - Broadcast cert upload via FSU"/>
    <s v="2-High"/>
    <s v=" "/>
    <d v="2024-09-24T00:00:00"/>
    <d v="1899-12-30T17:15:29"/>
    <s v="RBT"/>
    <s v="RBT"/>
    <s v="mkalra(Manoj Kalra)"/>
    <x v="1"/>
    <x v="0"/>
    <x v="0"/>
  </r>
  <r>
    <n v="133"/>
    <x v="0"/>
    <s v="U1300 R6.4 - NIC3"/>
    <s v="020 - Broadcast"/>
    <s v="Broadcast 05 - Broadcast cert upload via netmgr"/>
    <s v="2-High"/>
    <s v=" "/>
    <d v="2024-09-24T00:00:00"/>
    <d v="1899-12-30T17:13:27"/>
    <s v="RBT"/>
    <s v="RBT"/>
    <s v="mkalra(Manoj Kalra)"/>
    <x v="1"/>
    <x v="0"/>
    <x v="0"/>
  </r>
  <r>
    <n v="134"/>
    <x v="0"/>
    <s v="U1300 R6.4 - NIC3"/>
    <s v="020 - Broadcast"/>
    <s v="Broadcast 07 - Broadcast cert upload via Network Centre"/>
    <s v="2-High"/>
    <s v=" "/>
    <d v="2024-09-24T00:00:00"/>
    <d v="1899-12-30T17:13:38"/>
    <s v="RBT"/>
    <s v="RBT"/>
    <s v="mkalra(Manoj Kalra)"/>
    <x v="1"/>
    <x v="0"/>
    <x v="0"/>
  </r>
  <r>
    <n v="135"/>
    <x v="0"/>
    <s v="U1300 R6.4 - NIC3"/>
    <s v="020 - Broadcast"/>
    <s v="Broadcast 06 - Broadcast cert upload via FSU"/>
    <s v="2-High"/>
    <s v=" "/>
    <d v="2024-09-24T00:00:00"/>
    <d v="1899-12-30T17:13:35"/>
    <s v="RBT"/>
    <s v="RBT"/>
    <s v="mkalra(Manoj Kalra)"/>
    <x v="1"/>
    <x v="0"/>
    <x v="0"/>
  </r>
  <r>
    <n v="1802"/>
    <x v="0"/>
    <s v="U3400 R6.4 - NIC5"/>
    <s v="HSM Cert Refresh"/>
    <s v="HCM -  Send message to IHD"/>
    <s v="3-Medium"/>
    <s v=" "/>
    <d v="2024-10-14T00:00:00"/>
    <d v="1899-12-30T15:05:53"/>
    <s v="RBT"/>
    <s v="Passed"/>
    <s v="mkalra(Manoj Kalra)"/>
    <x v="0"/>
    <x v="1"/>
    <x v="0"/>
  </r>
  <r>
    <n v="1802"/>
    <x v="0"/>
    <s v="U3400 R6.4 - NIC3"/>
    <s v="HSM Cert Refresh"/>
    <s v="HCM -  Send message to IHD"/>
    <s v="3-Medium"/>
    <s v=" "/>
    <d v="2024-10-14T00:00:00"/>
    <d v="1899-12-30T15:07:08"/>
    <s v="RBT"/>
    <s v="Blocked"/>
    <s v="mkalra(Manoj Kalra)"/>
    <x v="0"/>
    <x v="2"/>
    <x v="4"/>
  </r>
  <r>
    <n v="1802"/>
    <x v="0"/>
    <s v="U1300 R6.4 - NIC5"/>
    <s v="HSM Cert Refresh"/>
    <s v="HCM -  Send message to IHD"/>
    <s v="3-Medium"/>
    <s v="No appropriate meter with HAN certificate but passed on NIC320 meter"/>
    <d v="2024-10-15T00:00:00"/>
    <d v="1899-12-30T14:33:04"/>
    <s v="RBT"/>
    <s v="RBT"/>
    <s v="knjuguna(Kamau Njuguna)"/>
    <x v="1"/>
    <x v="0"/>
    <x v="0"/>
  </r>
  <r>
    <n v="1802"/>
    <x v="0"/>
    <s v="U1300 R6.4 - NIC3"/>
    <s v="HSM Cert Refresh"/>
    <s v="HCM -  Send message to IHD"/>
    <s v="3-Medium"/>
    <s v=" "/>
    <d v="2024-10-15T00:00:00"/>
    <d v="1899-12-30T13:46:28"/>
    <s v="RBT"/>
    <s v="Passed"/>
    <s v="knjuguna(Kamau Njuguna)"/>
    <x v="1"/>
    <x v="1"/>
    <x v="0"/>
  </r>
  <r>
    <n v="1722"/>
    <x v="0"/>
    <s v="U3400 R6.4 - NIC5"/>
    <s v="PQ Polling"/>
    <s v="02 L&amp;G  PQ Configuration - Remote Enable-Disable"/>
    <s v="1-Critical"/>
    <s v=" "/>
    <d v="2024-09-24T00:00:00"/>
    <d v="1899-12-30T17:17:33"/>
    <s v="RBT"/>
    <s v="RBT"/>
    <s v="mkalra(Manoj Kalra)"/>
    <x v="0"/>
    <x v="0"/>
    <x v="0"/>
  </r>
  <r>
    <n v="1722"/>
    <x v="0"/>
    <s v="U3400 R6.4 - NIC3"/>
    <s v="PQ Polling"/>
    <s v="02 L&amp;G  PQ Configuration - Remote Enable-Disable"/>
    <s v="1-Critical"/>
    <s v=" "/>
    <d v="2024-09-24T00:00:00"/>
    <d v="1899-12-30T17:15:48"/>
    <s v="RBT"/>
    <s v="RBT"/>
    <s v="mkalra(Manoj Kalra)"/>
    <x v="0"/>
    <x v="0"/>
    <x v="0"/>
  </r>
  <r>
    <n v="1722"/>
    <x v="0"/>
    <s v="U1300 R6.4 - NIC5"/>
    <s v="PQ Polling"/>
    <s v="02 L&amp;G  PQ Configuration - Remote Enable-Disable"/>
    <s v="1-Critical"/>
    <s v=" "/>
    <d v="2024-09-24T00:00:00"/>
    <d v="1899-12-30T17:15:17"/>
    <s v="RBT"/>
    <s v="RBT"/>
    <s v="mkalra(Manoj Kalra)"/>
    <x v="1"/>
    <x v="0"/>
    <x v="0"/>
  </r>
  <r>
    <n v="1722"/>
    <x v="0"/>
    <s v="U1300 R6.4 - NIC3"/>
    <s v="PQ Polling"/>
    <s v="02 L&amp;G  PQ Configuration - Remote Enable-Disable"/>
    <s v="1-Critical"/>
    <s v=" "/>
    <d v="2024-09-24T00:00:00"/>
    <d v="1899-12-30T17:12:20"/>
    <s v="RBT"/>
    <s v="RBT"/>
    <s v="mkalra(Manoj Kalra)"/>
    <x v="1"/>
    <x v="0"/>
    <x v="0"/>
  </r>
  <r>
    <n v="1723"/>
    <x v="0"/>
    <s v="U1300 R6.4 - NIC3"/>
    <s v="PQ Polling"/>
    <s v="03 L&amp;G PQ Polling - Data Integrity"/>
    <s v="1-Critical"/>
    <s v=" "/>
    <d v="2024-09-24T00:00:00"/>
    <d v="1899-12-30T17:12:28"/>
    <s v="RBT"/>
    <s v="RBT"/>
    <s v="mkalra(Manoj Kalra)"/>
    <x v="1"/>
    <x v="0"/>
    <x v="0"/>
  </r>
  <r>
    <n v="1723"/>
    <x v="0"/>
    <s v="U1300 R6.4 - NIC5"/>
    <s v="PQ Polling"/>
    <s v="03 L&amp;G PQ Polling - Data Integrity"/>
    <s v="1-Critical"/>
    <s v=" "/>
    <d v="2024-09-24T00:00:00"/>
    <d v="1899-12-30T17:15:19"/>
    <s v="RBT"/>
    <s v="RBT"/>
    <s v="mkalra(Manoj Kalra)"/>
    <x v="1"/>
    <x v="0"/>
    <x v="0"/>
  </r>
  <r>
    <n v="1723"/>
    <x v="0"/>
    <s v="U3400 R6.4 - NIC3"/>
    <s v="PQ Polling"/>
    <s v="03 L&amp;G PQ Polling - Data Integrity"/>
    <s v="1-Critical"/>
    <s v=" "/>
    <d v="2024-09-24T00:00:00"/>
    <d v="1899-12-30T17:15:49"/>
    <s v="RBT"/>
    <s v="RBT"/>
    <s v="mkalra(Manoj Kalra)"/>
    <x v="0"/>
    <x v="0"/>
    <x v="0"/>
  </r>
  <r>
    <n v="1723"/>
    <x v="0"/>
    <s v="U3400 R6.4 - NIC5"/>
    <s v="PQ Polling"/>
    <s v="03 L&amp;G PQ Polling - Data Integrity"/>
    <s v="1-Critical"/>
    <s v=" "/>
    <d v="2024-09-24T00:00:00"/>
    <d v="1899-12-30T17:17:23"/>
    <s v="RBT"/>
    <s v="RBT"/>
    <s v="mkalra(Manoj Kalra)"/>
    <x v="0"/>
    <x v="0"/>
    <x v="0"/>
  </r>
  <r>
    <m/>
    <x v="1"/>
    <m/>
    <m/>
    <m/>
    <m/>
    <m/>
    <m/>
    <m/>
    <m/>
    <m/>
    <m/>
    <x v="2"/>
    <x v="3"/>
    <x v="5"/>
  </r>
  <r>
    <m/>
    <x v="1"/>
    <m/>
    <m/>
    <m/>
    <m/>
    <m/>
    <m/>
    <m/>
    <m/>
    <m/>
    <m/>
    <x v="2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49382-4E17-40BE-AC33-D3360F03D4B2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69:J73" firstHeaderRow="1" firstDataRow="2" firstDataCol="1" rowPageCount="2" colPageCount="1"/>
  <pivotFields count="16"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axis="axisCol" dataField="1" multipleItemSelectionAllowed="1" showAll="0">
      <items count="10">
        <item x="2"/>
        <item x="1"/>
        <item x="7"/>
        <item m="1" x="8"/>
        <item x="3"/>
        <item x="0"/>
        <item x="4"/>
        <item x="5"/>
        <item x="6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2"/>
    </i>
    <i t="grand">
      <x/>
    </i>
  </rowItems>
  <colFields count="1">
    <field x="10"/>
  </colFields>
  <colItems count="8">
    <i>
      <x/>
    </i>
    <i>
      <x v="1"/>
    </i>
    <i>
      <x v="4"/>
    </i>
    <i>
      <x v="5"/>
    </i>
    <i>
      <x v="6"/>
    </i>
    <i>
      <x v="7"/>
    </i>
    <i>
      <x v="8"/>
    </i>
    <i t="grand">
      <x/>
    </i>
  </colItems>
  <pageFields count="2">
    <pageField fld="5" hier="-1"/>
    <pageField fld="1" hier="-1"/>
  </pageFields>
  <dataFields count="1">
    <dataField name="Count of Status: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DB23E-902D-4815-B09F-C83C54770F05}" name="PivotTable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Test Cycle" colHeaderCaption="Status">
  <location ref="A2:L6" firstHeaderRow="1" firstDataRow="3" firstDataCol="1"/>
  <pivotFields count="15">
    <pivotField showAll="0"/>
    <pivotField axis="axisRow" showAll="0" sortType="ascending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axis="axisCol" dataField="1" showAll="0">
      <items count="8">
        <item x="0"/>
        <item x="5"/>
        <item x="1"/>
        <item m="1" x="6"/>
        <item x="2"/>
        <item x="3"/>
        <item x="4"/>
        <item t="default"/>
      </items>
    </pivotField>
  </pivotFields>
  <rowFields count="1">
    <field x="1"/>
  </rowFields>
  <rowItems count="2">
    <i>
      <x/>
    </i>
    <i t="grand">
      <x/>
    </i>
  </rowItems>
  <colFields count="2">
    <field x="12"/>
    <field x="14"/>
  </colFields>
  <colItems count="11">
    <i>
      <x/>
      <x/>
    </i>
    <i r="1">
      <x v="2"/>
    </i>
    <i r="1">
      <x v="4"/>
    </i>
    <i r="1">
      <x v="5"/>
    </i>
    <i t="default">
      <x/>
    </i>
    <i>
      <x v="1"/>
      <x/>
    </i>
    <i r="1">
      <x v="4"/>
    </i>
    <i r="1">
      <x v="5"/>
    </i>
    <i r="1">
      <x v="6"/>
    </i>
    <i t="default">
      <x v="1"/>
    </i>
    <i t="grand">
      <x/>
    </i>
  </colItems>
  <dataFields count="1">
    <dataField name="TC Status" fld="14" subtotal="count" baseField="1" baseItem="0"/>
  </dataFields>
  <formats count="18">
    <format dxfId="450">
      <pivotArea type="all" dataOnly="0" outline="0" fieldPosition="0"/>
    </format>
    <format dxfId="449">
      <pivotArea outline="0" collapsedLevelsAreSubtotals="1" fieldPosition="0"/>
    </format>
    <format dxfId="448">
      <pivotArea type="origin" dataOnly="0" labelOnly="1" outline="0" fieldPosition="0"/>
    </format>
    <format dxfId="447">
      <pivotArea field="13" type="button" dataOnly="0" labelOnly="1" outline="0"/>
    </format>
    <format dxfId="446">
      <pivotArea type="topRight" dataOnly="0" labelOnly="1" outline="0" fieldPosition="0"/>
    </format>
    <format dxfId="445">
      <pivotArea field="1" type="button" dataOnly="0" labelOnly="1" outline="0" axis="axisRow" fieldPosition="0"/>
    </format>
    <format dxfId="444">
      <pivotArea dataOnly="0" labelOnly="1" fieldPosition="0">
        <references count="1">
          <reference field="1" count="0"/>
        </references>
      </pivotArea>
    </format>
    <format dxfId="443">
      <pivotArea dataOnly="0" labelOnly="1" grandRow="1" outline="0" fieldPosition="0"/>
    </format>
    <format dxfId="442">
      <pivotArea dataOnly="0" labelOnly="1" grandCol="1" outline="0" fieldPosition="0"/>
    </format>
    <format dxfId="441">
      <pivotArea type="all" dataOnly="0" outline="0" fieldPosition="0"/>
    </format>
    <format dxfId="440">
      <pivotArea outline="0" collapsedLevelsAreSubtotals="1" fieldPosition="0"/>
    </format>
    <format dxfId="439">
      <pivotArea type="origin" dataOnly="0" labelOnly="1" outline="0" fieldPosition="0"/>
    </format>
    <format dxfId="438">
      <pivotArea field="13" type="button" dataOnly="0" labelOnly="1" outline="0"/>
    </format>
    <format dxfId="437">
      <pivotArea type="topRight" dataOnly="0" labelOnly="1" outline="0" fieldPosition="0"/>
    </format>
    <format dxfId="436">
      <pivotArea field="1" type="button" dataOnly="0" labelOnly="1" outline="0" axis="axisRow" fieldPosition="0"/>
    </format>
    <format dxfId="435">
      <pivotArea dataOnly="0" labelOnly="1" fieldPosition="0">
        <references count="1">
          <reference field="1" count="0"/>
        </references>
      </pivotArea>
    </format>
    <format dxfId="434">
      <pivotArea dataOnly="0" labelOnly="1" grandRow="1" outline="0" fieldPosition="0"/>
    </format>
    <format dxfId="43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E0FA7-43FA-421B-B47C-EF435591A84C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51">
  <location ref="A22:F29" firstHeaderRow="1" firstDataRow="2" firstDataCol="1" rowPageCount="1" colPageCount="1"/>
  <pivotFields count="16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0"/>
        <item x="5"/>
        <item x="1"/>
        <item m="1" x="6"/>
        <item x="2"/>
        <item x="3"/>
        <item x="4"/>
        <item t="default"/>
      </items>
    </pivotField>
    <pivotField showAll="0"/>
  </pivotFields>
  <rowFields count="1">
    <field x="14"/>
  </rowFields>
  <rowItems count="6">
    <i>
      <x/>
    </i>
    <i>
      <x v="2"/>
    </i>
    <i>
      <x v="4"/>
    </i>
    <i>
      <x v="5"/>
    </i>
    <i>
      <x v="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Don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82689-4764-46FB-A6EA-7A2CEBE1111C}" name="PivotTable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8" rowHeaderCaption="Exec Date" colHeaderCaption="Tester">
  <location ref="A42:E63" firstHeaderRow="1" firstDataRow="2" firstDataCol="1" rowPageCount="2" colPageCount="1"/>
  <pivotFields count="14"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20">
        <item x="8"/>
        <item x="17"/>
        <item x="0"/>
        <item x="16"/>
        <item x="15"/>
        <item x="12"/>
        <item x="1"/>
        <item x="2"/>
        <item x="3"/>
        <item x="7"/>
        <item x="11"/>
        <item x="6"/>
        <item x="13"/>
        <item x="14"/>
        <item x="5"/>
        <item x="4"/>
        <item x="10"/>
        <item x="9"/>
        <item x="18"/>
        <item t="default"/>
      </items>
    </pivotField>
    <pivotField showAll="0"/>
    <pivotField showAll="0"/>
    <pivotField axis="axisPage" dataField="1" multipleItemSelectionAllowed="1" showAll="0">
      <items count="10">
        <item x="2"/>
        <item x="1"/>
        <item x="7"/>
        <item m="1" x="8"/>
        <item x="3"/>
        <item x="0"/>
        <item x="4"/>
        <item x="5"/>
        <item x="6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pageFields count="2">
    <pageField fld="10" hier="-1"/>
    <pageField fld="1" hier="-1"/>
  </pageFields>
  <dataFields count="1">
    <dataField name="Count of Status:" fld="10" subtotal="count" baseField="0" baseItem="0"/>
  </dataFields>
  <chartFormats count="1"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2F667-D734-4399-91C3-FADFC5E16F98}" name="PivotTable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U94" firstHeaderRow="1" firstDataRow="2" firstDataCol="1"/>
  <pivotFields count="17"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axis="axisRow" dataField="1" showAll="0" sortType="ascending">
      <items count="90">
        <item x="2"/>
        <item x="87"/>
        <item x="3"/>
        <item x="88"/>
        <item x="4"/>
        <item x="5"/>
        <item x="6"/>
        <item x="7"/>
        <item x="8"/>
        <item x="9"/>
        <item x="22"/>
        <item x="23"/>
        <item x="24"/>
        <item x="30"/>
        <item x="25"/>
        <item x="26"/>
        <item x="36"/>
        <item x="37"/>
        <item x="38"/>
        <item x="39"/>
        <item x="46"/>
        <item x="47"/>
        <item x="43"/>
        <item x="44"/>
        <item x="45"/>
        <item x="72"/>
        <item x="73"/>
        <item x="74"/>
        <item x="75"/>
        <item x="76"/>
        <item x="77"/>
        <item x="78"/>
        <item x="79"/>
        <item x="82"/>
        <item x="83"/>
        <item x="85"/>
        <item x="84"/>
        <item x="80"/>
        <item x="81"/>
        <item x="69"/>
        <item x="70"/>
        <item x="11"/>
        <item x="10"/>
        <item x="59"/>
        <item x="58"/>
        <item x="61"/>
        <item x="60"/>
        <item x="62"/>
        <item x="56"/>
        <item x="67"/>
        <item x="66"/>
        <item x="63"/>
        <item x="64"/>
        <item x="86"/>
        <item x="57"/>
        <item x="65"/>
        <item x="19"/>
        <item x="48"/>
        <item x="49"/>
        <item x="54"/>
        <item x="20"/>
        <item x="27"/>
        <item x="28"/>
        <item x="21"/>
        <item x="29"/>
        <item x="31"/>
        <item x="12"/>
        <item x="40"/>
        <item x="41"/>
        <item x="42"/>
        <item x="15"/>
        <item x="17"/>
        <item x="18"/>
        <item x="13"/>
        <item x="14"/>
        <item x="16"/>
        <item x="0"/>
        <item x="32"/>
        <item x="33"/>
        <item x="34"/>
        <item x="35"/>
        <item x="71"/>
        <item x="68"/>
        <item x="50"/>
        <item x="51"/>
        <item x="52"/>
        <item x="53"/>
        <item x="1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est: Test Name: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3BB65-6D36-4F6A-8E03-251FFBDD2A37}" name="PivotTable6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Test Cycle" colHeaderCaption="Status">
  <location ref="A10:L14" firstHeaderRow="1" firstDataRow="3" firstDataCol="1"/>
  <pivotFields count="15">
    <pivotField showAll="0"/>
    <pivotField axis="axisRow" showAll="0" sortType="ascending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axis="axisCol" dataField="1" showAll="0">
      <items count="8">
        <item x="0"/>
        <item x="5"/>
        <item x="1"/>
        <item m="1" x="6"/>
        <item x="2"/>
        <item x="3"/>
        <item x="4"/>
        <item t="default"/>
      </items>
    </pivotField>
  </pivotFields>
  <rowFields count="1">
    <field x="1"/>
  </rowFields>
  <rowItems count="2">
    <i>
      <x/>
    </i>
    <i t="grand">
      <x/>
    </i>
  </rowItems>
  <colFields count="2">
    <field x="12"/>
    <field x="14"/>
  </colFields>
  <colItems count="11">
    <i>
      <x/>
      <x/>
    </i>
    <i r="1">
      <x v="2"/>
    </i>
    <i r="1">
      <x v="4"/>
    </i>
    <i r="1">
      <x v="5"/>
    </i>
    <i t="default">
      <x/>
    </i>
    <i>
      <x v="1"/>
      <x/>
    </i>
    <i r="1">
      <x v="4"/>
    </i>
    <i r="1">
      <x v="5"/>
    </i>
    <i r="1">
      <x v="6"/>
    </i>
    <i t="default">
      <x v="1"/>
    </i>
    <i t="grand">
      <x/>
    </i>
  </colItems>
  <dataFields count="1">
    <dataField name="TC Status" fld="14" subtotal="count" showDataAs="percentOfRow" baseField="1" baseItem="0" numFmtId="10"/>
  </dataFields>
  <formats count="28">
    <format dxfId="478">
      <pivotArea type="all" dataOnly="0" outline="0" fieldPosition="0"/>
    </format>
    <format dxfId="477">
      <pivotArea outline="0" collapsedLevelsAreSubtotals="1" fieldPosition="0"/>
    </format>
    <format dxfId="476">
      <pivotArea type="origin" dataOnly="0" labelOnly="1" outline="0" fieldPosition="0"/>
    </format>
    <format dxfId="475">
      <pivotArea field="13" type="button" dataOnly="0" labelOnly="1" outline="0"/>
    </format>
    <format dxfId="474">
      <pivotArea type="topRight" dataOnly="0" labelOnly="1" outline="0" fieldPosition="0"/>
    </format>
    <format dxfId="473">
      <pivotArea field="1" type="button" dataOnly="0" labelOnly="1" outline="0" axis="axisRow" fieldPosition="0"/>
    </format>
    <format dxfId="472">
      <pivotArea dataOnly="0" labelOnly="1" fieldPosition="0">
        <references count="1">
          <reference field="1" count="0"/>
        </references>
      </pivotArea>
    </format>
    <format dxfId="471">
      <pivotArea dataOnly="0" labelOnly="1" grandRow="1" outline="0" fieldPosition="0"/>
    </format>
    <format dxfId="470">
      <pivotArea dataOnly="0" labelOnly="1" grandCol="1" outline="0" fieldPosition="0"/>
    </format>
    <format dxfId="469">
      <pivotArea type="all" dataOnly="0" outline="0" fieldPosition="0"/>
    </format>
    <format dxfId="468">
      <pivotArea outline="0" collapsedLevelsAreSubtotals="1" fieldPosition="0"/>
    </format>
    <format dxfId="467">
      <pivotArea type="origin" dataOnly="0" labelOnly="1" outline="0" fieldPosition="0"/>
    </format>
    <format dxfId="466">
      <pivotArea field="13" type="button" dataOnly="0" labelOnly="1" outline="0"/>
    </format>
    <format dxfId="465">
      <pivotArea type="topRight" dataOnly="0" labelOnly="1" outline="0" fieldPosition="0"/>
    </format>
    <format dxfId="464">
      <pivotArea field="1" type="button" dataOnly="0" labelOnly="1" outline="0" axis="axisRow" fieldPosition="0"/>
    </format>
    <format dxfId="463">
      <pivotArea dataOnly="0" labelOnly="1" fieldPosition="0">
        <references count="1">
          <reference field="1" count="0"/>
        </references>
      </pivotArea>
    </format>
    <format dxfId="462">
      <pivotArea dataOnly="0" labelOnly="1" grandRow="1" outline="0" fieldPosition="0"/>
    </format>
    <format dxfId="461">
      <pivotArea dataOnly="0" labelOnly="1" grandCol="1" outline="0" fieldPosition="0"/>
    </format>
    <format dxfId="460">
      <pivotArea type="all" dataOnly="0" outline="0" fieldPosition="0"/>
    </format>
    <format dxfId="459">
      <pivotArea outline="0" collapsedLevelsAreSubtotals="1" fieldPosition="0"/>
    </format>
    <format dxfId="458">
      <pivotArea type="origin" dataOnly="0" labelOnly="1" outline="0" fieldPosition="0"/>
    </format>
    <format dxfId="457">
      <pivotArea field="13" type="button" dataOnly="0" labelOnly="1" outline="0"/>
    </format>
    <format dxfId="456">
      <pivotArea type="topRight" dataOnly="0" labelOnly="1" outline="0" fieldPosition="0"/>
    </format>
    <format dxfId="455">
      <pivotArea field="1" type="button" dataOnly="0" labelOnly="1" outline="0" axis="axisRow" fieldPosition="0"/>
    </format>
    <format dxfId="454">
      <pivotArea dataOnly="0" labelOnly="1" fieldPosition="0">
        <references count="1">
          <reference field="1" count="0"/>
        </references>
      </pivotArea>
    </format>
    <format dxfId="453">
      <pivotArea dataOnly="0" labelOnly="1" grandRow="1" outline="0" fieldPosition="0"/>
    </format>
    <format dxfId="452">
      <pivotArea dataOnly="0" labelOnly="1" grandCol="1" outline="0" fieldPosition="0"/>
    </format>
    <format dxfId="45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FB9E-7E96-45DA-8D3B-D25DF59935D0}">
  <dimension ref="A1:X41"/>
  <sheetViews>
    <sheetView zoomScale="160" zoomScaleNormal="160" workbookViewId="0">
      <selection activeCell="F11" sqref="F11"/>
    </sheetView>
  </sheetViews>
  <sheetFormatPr defaultRowHeight="15" x14ac:dyDescent="0.25"/>
  <cols>
    <col min="1" max="1" width="11.28515625" bestFit="1" customWidth="1"/>
    <col min="2" max="2" width="5.140625" bestFit="1" customWidth="1"/>
    <col min="3" max="3" width="19.85546875" bestFit="1" customWidth="1"/>
    <col min="5" max="5" width="38.42578125" bestFit="1" customWidth="1"/>
    <col min="6" max="6" width="44.85546875" style="12" customWidth="1"/>
    <col min="7" max="7" width="16.85546875" customWidth="1"/>
    <col min="8" max="8" width="22.7109375" customWidth="1"/>
    <col min="9" max="9" width="20.5703125" customWidth="1"/>
    <col min="10" max="10" width="13.7109375" customWidth="1"/>
    <col min="11" max="11" width="10.42578125" bestFit="1" customWidth="1"/>
    <col min="12" max="12" width="10.85546875" bestFit="1" customWidth="1"/>
    <col min="13" max="13" width="14.28515625" bestFit="1" customWidth="1"/>
    <col min="14" max="14" width="19.5703125" customWidth="1"/>
    <col min="15" max="15" width="11.42578125" bestFit="1" customWidth="1"/>
    <col min="16" max="16" width="13.28515625" customWidth="1"/>
    <col min="17" max="17" width="15" bestFit="1" customWidth="1"/>
    <col min="18" max="18" width="14.28515625" bestFit="1" customWidth="1"/>
    <col min="19" max="19" width="14.140625" bestFit="1" customWidth="1"/>
    <col min="20" max="20" width="14.140625" customWidth="1"/>
    <col min="22" max="22" width="14.7109375" bestFit="1" customWidth="1"/>
    <col min="23" max="23" width="14.28515625" bestFit="1" customWidth="1"/>
    <col min="24" max="24" width="14.140625" bestFit="1" customWidth="1"/>
  </cols>
  <sheetData>
    <row r="1" spans="1:22" x14ac:dyDescent="0.25">
      <c r="A1">
        <v>1</v>
      </c>
      <c r="B1" t="s">
        <v>0</v>
      </c>
      <c r="E1" s="9" t="s">
        <v>1</v>
      </c>
      <c r="F1" s="9">
        <v>8</v>
      </c>
    </row>
    <row r="2" spans="1:22" x14ac:dyDescent="0.25">
      <c r="A2">
        <v>2</v>
      </c>
      <c r="B2" t="s">
        <v>2</v>
      </c>
      <c r="E2" s="9" t="s">
        <v>3</v>
      </c>
      <c r="F2" s="9">
        <v>274</v>
      </c>
    </row>
    <row r="3" spans="1:22" x14ac:dyDescent="0.25">
      <c r="A3">
        <v>3</v>
      </c>
      <c r="B3" t="s">
        <v>4</v>
      </c>
      <c r="E3" s="34" t="s">
        <v>5</v>
      </c>
      <c r="F3" s="34">
        <f>COUNT('2024 - L&amp;G R64 - Test Instances'!A:A)-1</f>
        <v>361</v>
      </c>
      <c r="L3" s="24"/>
      <c r="Q3" s="24"/>
      <c r="V3" s="24"/>
    </row>
    <row r="4" spans="1:22" x14ac:dyDescent="0.25">
      <c r="A4">
        <v>4</v>
      </c>
      <c r="B4" t="s">
        <v>6</v>
      </c>
      <c r="E4" s="34" t="s">
        <v>7</v>
      </c>
      <c r="F4" s="35">
        <v>0.1</v>
      </c>
      <c r="L4" s="24"/>
      <c r="Q4" s="24"/>
      <c r="V4" s="24"/>
    </row>
    <row r="5" spans="1:22" x14ac:dyDescent="0.25">
      <c r="A5">
        <v>5</v>
      </c>
      <c r="B5" t="s">
        <v>8</v>
      </c>
      <c r="E5" s="34" t="s">
        <v>9</v>
      </c>
      <c r="F5" s="34">
        <f>(F2*(1+F4))/F1</f>
        <v>37.675000000000004</v>
      </c>
      <c r="L5" s="24"/>
      <c r="N5" s="24"/>
      <c r="Q5" s="24"/>
      <c r="V5" s="24"/>
    </row>
    <row r="6" spans="1:22" x14ac:dyDescent="0.25">
      <c r="A6">
        <v>6</v>
      </c>
      <c r="B6" t="s">
        <v>10</v>
      </c>
      <c r="E6" s="9" t="s">
        <v>11</v>
      </c>
      <c r="F6" s="9">
        <v>2</v>
      </c>
      <c r="L6" s="24"/>
      <c r="N6" s="24"/>
      <c r="Q6" s="24"/>
      <c r="V6" s="24"/>
    </row>
    <row r="7" spans="1:22" x14ac:dyDescent="0.25">
      <c r="A7">
        <v>7</v>
      </c>
      <c r="B7" t="s">
        <v>12</v>
      </c>
      <c r="E7" s="34" t="s">
        <v>13</v>
      </c>
      <c r="F7" s="34">
        <f>ROUNDUP(F5/F6,0)</f>
        <v>19</v>
      </c>
      <c r="L7" s="24"/>
      <c r="N7" s="24"/>
      <c r="Q7" s="24"/>
      <c r="V7" s="24"/>
    </row>
    <row r="8" spans="1:22" x14ac:dyDescent="0.25">
      <c r="E8" s="13"/>
      <c r="F8" s="13"/>
      <c r="L8" s="24"/>
      <c r="Q8" s="24"/>
      <c r="V8" s="24"/>
    </row>
    <row r="9" spans="1:22" x14ac:dyDescent="0.25">
      <c r="E9" s="9" t="s">
        <v>14</v>
      </c>
      <c r="F9" s="36">
        <v>45555</v>
      </c>
      <c r="L9" s="24"/>
      <c r="Q9" s="24"/>
      <c r="V9" s="24"/>
    </row>
    <row r="10" spans="1:22" x14ac:dyDescent="0.25">
      <c r="A10" s="8" t="s">
        <v>15</v>
      </c>
      <c r="B10" t="s">
        <v>16</v>
      </c>
      <c r="C10" t="s">
        <v>17</v>
      </c>
      <c r="E10" s="9" t="s">
        <v>18</v>
      </c>
      <c r="F10" s="36">
        <v>45582</v>
      </c>
      <c r="L10" s="24"/>
      <c r="Q10" s="24"/>
      <c r="V10" s="24"/>
    </row>
    <row r="11" spans="1:22" ht="15.75" thickBot="1" x14ac:dyDescent="0.3">
      <c r="A11" s="2">
        <v>45292</v>
      </c>
      <c r="B11" t="str">
        <f t="shared" ref="B11:B24" si="0">VLOOKUP(WEEKDAY(A11,2),$A$1:$B$7,2,0)</f>
        <v>Mon</v>
      </c>
      <c r="C11" t="s">
        <v>19</v>
      </c>
      <c r="E11" s="38" t="s">
        <v>20</v>
      </c>
      <c r="F11" s="39">
        <f ca="1">VLOOKUP(TODAY(),'2024 - L&amp;G R64  Tracking'!AM:AQ,5,0)</f>
        <v>45612.2</v>
      </c>
      <c r="L11" s="24"/>
      <c r="Q11" s="24"/>
      <c r="V11" s="24"/>
    </row>
    <row r="12" spans="1:22" ht="15.75" thickTop="1" x14ac:dyDescent="0.25">
      <c r="A12" s="2">
        <v>45317</v>
      </c>
      <c r="B12" t="str">
        <f t="shared" si="0"/>
        <v>Fri</v>
      </c>
      <c r="C12" t="s">
        <v>21</v>
      </c>
      <c r="E12" s="13" t="s">
        <v>22</v>
      </c>
      <c r="F12" s="13">
        <f ca="1">NETWORKDAYS(F10,F11,$A$11:$A$38)</f>
        <v>21</v>
      </c>
      <c r="L12" s="24"/>
      <c r="Q12" s="24"/>
      <c r="V12" s="24"/>
    </row>
    <row r="13" spans="1:22" x14ac:dyDescent="0.25">
      <c r="A13" s="2">
        <v>45362</v>
      </c>
      <c r="B13" t="str">
        <f t="shared" si="0"/>
        <v>Mon</v>
      </c>
      <c r="C13" t="s">
        <v>23</v>
      </c>
      <c r="E13" s="13" t="s">
        <v>22</v>
      </c>
      <c r="F13" s="41">
        <f ca="1">(NETWORKDAYS(F9,F10,$A$11:$A$38)-NETWORKDAYS(F10,F11,$A$11:$A$38))/NETWORKDAYS(F9,F10,$A$11:$A$38)</f>
        <v>-0.10526315789473684</v>
      </c>
      <c r="L13" s="24"/>
      <c r="Q13" s="24"/>
      <c r="V13" s="24"/>
    </row>
    <row r="14" spans="1:22" x14ac:dyDescent="0.25">
      <c r="A14" s="2">
        <v>45380</v>
      </c>
      <c r="B14" t="str">
        <f t="shared" si="0"/>
        <v>Fri</v>
      </c>
      <c r="C14" t="s">
        <v>24</v>
      </c>
      <c r="E14" s="13"/>
      <c r="F14" s="14"/>
      <c r="L14" s="24"/>
      <c r="Q14" s="24"/>
      <c r="V14" s="24"/>
    </row>
    <row r="15" spans="1:22" x14ac:dyDescent="0.25">
      <c r="A15" s="2">
        <v>45381</v>
      </c>
      <c r="B15" t="str">
        <f t="shared" si="0"/>
        <v>Sat</v>
      </c>
      <c r="C15" t="s">
        <v>25</v>
      </c>
      <c r="E15" s="13" t="s">
        <v>26</v>
      </c>
      <c r="F15" s="14"/>
      <c r="L15" s="24"/>
      <c r="Q15" s="24"/>
      <c r="V15" s="24"/>
    </row>
    <row r="16" spans="1:22" x14ac:dyDescent="0.25">
      <c r="A16" s="2">
        <v>45382</v>
      </c>
      <c r="B16" t="str">
        <f t="shared" si="0"/>
        <v>Sun</v>
      </c>
      <c r="C16" t="s">
        <v>27</v>
      </c>
      <c r="E16" s="13" t="s">
        <v>28</v>
      </c>
      <c r="F16" s="14"/>
      <c r="L16" s="24"/>
      <c r="Q16" s="24"/>
      <c r="V16" s="24"/>
    </row>
    <row r="17" spans="1:24" x14ac:dyDescent="0.25">
      <c r="A17" s="2">
        <v>45383</v>
      </c>
      <c r="B17" t="str">
        <f t="shared" si="0"/>
        <v>Mon</v>
      </c>
      <c r="C17" t="s">
        <v>29</v>
      </c>
      <c r="E17" s="13" t="s">
        <v>30</v>
      </c>
      <c r="F17" s="14"/>
      <c r="L17" s="24"/>
      <c r="Q17" s="24"/>
      <c r="V17" s="24"/>
    </row>
    <row r="18" spans="1:24" x14ac:dyDescent="0.25">
      <c r="A18" s="2">
        <v>45407</v>
      </c>
      <c r="B18" t="str">
        <f t="shared" si="0"/>
        <v>Thu</v>
      </c>
      <c r="C18" t="s">
        <v>31</v>
      </c>
      <c r="F18" s="20"/>
      <c r="L18" s="24"/>
      <c r="Q18" s="24"/>
      <c r="V18" s="24"/>
    </row>
    <row r="19" spans="1:24" x14ac:dyDescent="0.25">
      <c r="A19" s="2">
        <v>45453</v>
      </c>
      <c r="B19" t="str">
        <f t="shared" si="0"/>
        <v>Mon</v>
      </c>
      <c r="C19" t="s">
        <v>32</v>
      </c>
      <c r="F19" s="20"/>
      <c r="L19" s="24"/>
      <c r="Q19" s="24"/>
      <c r="V19" s="24"/>
    </row>
    <row r="20" spans="1:24" x14ac:dyDescent="0.25">
      <c r="A20" s="2">
        <v>45562</v>
      </c>
      <c r="B20" t="str">
        <f t="shared" si="0"/>
        <v>Fri</v>
      </c>
      <c r="C20" t="s">
        <v>33</v>
      </c>
      <c r="L20" s="24"/>
      <c r="Q20" s="24"/>
      <c r="V20" s="24"/>
    </row>
    <row r="21" spans="1:24" x14ac:dyDescent="0.25">
      <c r="A21" s="2">
        <v>45601</v>
      </c>
      <c r="B21" t="str">
        <f t="shared" si="0"/>
        <v>Tue</v>
      </c>
      <c r="C21" t="s">
        <v>34</v>
      </c>
      <c r="L21" s="24"/>
      <c r="Q21" s="24"/>
      <c r="V21" s="24"/>
    </row>
    <row r="22" spans="1:24" x14ac:dyDescent="0.25">
      <c r="A22" s="2">
        <v>45651</v>
      </c>
      <c r="B22" t="str">
        <f t="shared" si="0"/>
        <v>Wed</v>
      </c>
      <c r="C22" t="s">
        <v>35</v>
      </c>
      <c r="E22" s="9" t="s">
        <v>1</v>
      </c>
      <c r="F22" s="9">
        <f>$F$1</f>
        <v>8</v>
      </c>
      <c r="L22" s="24"/>
      <c r="Q22" s="24"/>
      <c r="V22" s="24"/>
    </row>
    <row r="23" spans="1:24" x14ac:dyDescent="0.25">
      <c r="A23" s="2">
        <v>45652</v>
      </c>
      <c r="B23" t="str">
        <f t="shared" si="0"/>
        <v>Thu</v>
      </c>
      <c r="C23" t="s">
        <v>36</v>
      </c>
      <c r="E23" s="9" t="s">
        <v>37</v>
      </c>
      <c r="F23" s="9">
        <f>ROUND((N11+N14)*1.1,0)</f>
        <v>0</v>
      </c>
      <c r="L23" s="24"/>
      <c r="Q23" s="24"/>
      <c r="V23" s="24"/>
    </row>
    <row r="24" spans="1:24" x14ac:dyDescent="0.25">
      <c r="A24" s="2">
        <v>45653</v>
      </c>
      <c r="B24" t="str">
        <f t="shared" si="0"/>
        <v>Fri</v>
      </c>
      <c r="C24" t="s">
        <v>38</v>
      </c>
      <c r="E24" s="21" t="s">
        <v>39</v>
      </c>
      <c r="F24" s="21" t="e">
        <f>GETPIVOTDATA("Executed",'2024 - L&amp;G R64 Pivot'!$A$2)</f>
        <v>#REF!</v>
      </c>
      <c r="L24" s="24"/>
      <c r="Q24" s="24"/>
      <c r="V24" s="24"/>
    </row>
    <row r="25" spans="1:24" x14ac:dyDescent="0.25">
      <c r="A25" s="2">
        <v>45658</v>
      </c>
      <c r="B25" t="str">
        <f t="shared" ref="B25:B38" si="1">VLOOKUP(WEEKDAY(A25,2),$A$1:$B$7,2,0)</f>
        <v>Wed</v>
      </c>
      <c r="C25" t="s">
        <v>19</v>
      </c>
      <c r="L25" s="24"/>
      <c r="Q25" s="24"/>
      <c r="V25" s="24"/>
    </row>
    <row r="26" spans="1:24" x14ac:dyDescent="0.25">
      <c r="A26" s="2">
        <v>45684</v>
      </c>
      <c r="B26" t="str">
        <f t="shared" si="1"/>
        <v>Mon</v>
      </c>
      <c r="C26" t="s">
        <v>21</v>
      </c>
      <c r="E26" s="9" t="s">
        <v>1</v>
      </c>
      <c r="F26" s="9">
        <f>$F$1</f>
        <v>8</v>
      </c>
      <c r="Q26" s="24"/>
      <c r="V26" s="24"/>
    </row>
    <row r="27" spans="1:24" x14ac:dyDescent="0.25">
      <c r="A27" s="2">
        <v>45726</v>
      </c>
      <c r="B27" t="str">
        <f t="shared" si="1"/>
        <v>Mon</v>
      </c>
      <c r="C27" t="s">
        <v>23</v>
      </c>
      <c r="E27" s="9" t="s">
        <v>40</v>
      </c>
      <c r="F27" s="9">
        <f>ROUND(N12*1.1,0)</f>
        <v>0</v>
      </c>
      <c r="S27" s="24"/>
      <c r="X27" s="24"/>
    </row>
    <row r="28" spans="1:24" x14ac:dyDescent="0.25">
      <c r="A28" s="2">
        <v>45765</v>
      </c>
      <c r="B28" t="str">
        <f t="shared" si="1"/>
        <v>Fri</v>
      </c>
      <c r="C28" t="s">
        <v>24</v>
      </c>
      <c r="E28" s="21" t="s">
        <v>41</v>
      </c>
      <c r="F28" s="21" t="e">
        <f>GETPIVOTDATA("Executed",'2024 - L&amp;G R64 Pivot'!$A$2,"Target Cycle:","UE_Phase_1a")-GETPIVOTDATA("Executed",'2024 - L&amp;G R64 Pivot'!$A$2,"Target Cycle:","UE_Phase_1a","Executed","RBT")</f>
        <v>#REF!</v>
      </c>
      <c r="S28" s="24"/>
      <c r="X28" s="24"/>
    </row>
    <row r="29" spans="1:24" x14ac:dyDescent="0.25">
      <c r="A29" s="2">
        <v>45766</v>
      </c>
      <c r="B29" t="str">
        <f t="shared" si="1"/>
        <v>Sat</v>
      </c>
      <c r="C29" t="s">
        <v>25</v>
      </c>
      <c r="V29" s="24"/>
    </row>
    <row r="30" spans="1:24" x14ac:dyDescent="0.25">
      <c r="A30" s="2">
        <v>45767</v>
      </c>
      <c r="B30" t="str">
        <f t="shared" si="1"/>
        <v>Sun</v>
      </c>
      <c r="C30" t="s">
        <v>27</v>
      </c>
      <c r="E30" s="9" t="s">
        <v>1</v>
      </c>
      <c r="F30" s="9">
        <f>$F$1</f>
        <v>8</v>
      </c>
      <c r="V30" s="24"/>
    </row>
    <row r="31" spans="1:24" x14ac:dyDescent="0.25">
      <c r="A31" s="2">
        <v>45768</v>
      </c>
      <c r="B31" t="str">
        <f t="shared" si="1"/>
        <v>Mon</v>
      </c>
      <c r="C31" t="s">
        <v>29</v>
      </c>
      <c r="E31" s="9" t="s">
        <v>40</v>
      </c>
      <c r="F31" s="9">
        <f>ROUND(N13*1.1,0)</f>
        <v>0</v>
      </c>
      <c r="V31" s="24"/>
    </row>
    <row r="32" spans="1:24" x14ac:dyDescent="0.25">
      <c r="A32" s="2">
        <v>45772</v>
      </c>
      <c r="B32" t="str">
        <f t="shared" si="1"/>
        <v>Fri</v>
      </c>
      <c r="C32" t="s">
        <v>31</v>
      </c>
      <c r="E32" s="21" t="s">
        <v>41</v>
      </c>
      <c r="F32" s="21" t="e">
        <f>GETPIVOTDATA("Executed",'2024 - L&amp;G R64 Pivot'!$A$2,"Target Cycle:","UE_Phase_1b")-GETPIVOTDATA("Executed",'2024 - L&amp;G R64 Pivot'!$A$2,"Target Cycle:","UE_Phase_1b","Executed","RBT")</f>
        <v>#REF!</v>
      </c>
      <c r="L32" s="24"/>
      <c r="Q32" s="24"/>
      <c r="V32" s="24"/>
    </row>
    <row r="33" spans="1:22" x14ac:dyDescent="0.25">
      <c r="A33" s="2">
        <v>45817</v>
      </c>
      <c r="B33" t="str">
        <f t="shared" si="1"/>
        <v>Mon</v>
      </c>
      <c r="C33" t="s">
        <v>32</v>
      </c>
      <c r="Q33" s="24"/>
      <c r="V33" s="24"/>
    </row>
    <row r="34" spans="1:22" x14ac:dyDescent="0.25">
      <c r="A34" s="2">
        <v>45926</v>
      </c>
      <c r="B34" t="str">
        <f t="shared" si="1"/>
        <v>Fri</v>
      </c>
      <c r="C34" t="s">
        <v>33</v>
      </c>
      <c r="Q34" s="24"/>
      <c r="V34" s="24"/>
    </row>
    <row r="35" spans="1:22" x14ac:dyDescent="0.25">
      <c r="A35" s="2">
        <v>45965</v>
      </c>
      <c r="B35" t="str">
        <f t="shared" si="1"/>
        <v>Tue</v>
      </c>
      <c r="C35" t="s">
        <v>34</v>
      </c>
      <c r="Q35" s="24"/>
      <c r="V35" s="24"/>
    </row>
    <row r="36" spans="1:22" x14ac:dyDescent="0.25">
      <c r="A36" s="2">
        <v>46016</v>
      </c>
      <c r="B36" t="str">
        <f t="shared" si="1"/>
        <v>Thu</v>
      </c>
      <c r="C36" t="s">
        <v>35</v>
      </c>
      <c r="Q36" s="24"/>
      <c r="V36" s="24"/>
    </row>
    <row r="37" spans="1:22" x14ac:dyDescent="0.25">
      <c r="A37" s="2">
        <v>46017</v>
      </c>
      <c r="B37" t="str">
        <f t="shared" si="1"/>
        <v>Fri</v>
      </c>
      <c r="C37" t="s">
        <v>36</v>
      </c>
      <c r="Q37" s="24"/>
      <c r="V37" s="24"/>
    </row>
    <row r="38" spans="1:22" x14ac:dyDescent="0.25">
      <c r="A38" s="2">
        <v>46020</v>
      </c>
      <c r="B38" t="str">
        <f t="shared" si="1"/>
        <v>Mon</v>
      </c>
      <c r="C38" t="s">
        <v>38</v>
      </c>
    </row>
    <row r="41" spans="1:22" ht="38.450000000000003" customHeight="1" x14ac:dyDescent="0.25"/>
  </sheetData>
  <phoneticPr fontId="3" type="noConversion"/>
  <conditionalFormatting sqref="F11">
    <cfRule type="cellIs" dxfId="480" priority="2" operator="greaterThan">
      <formula>$F$10</formula>
    </cfRule>
    <cfRule type="cellIs" dxfId="479" priority="1" operator="lessThanOrEqual">
      <formula>$F$10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9E56-C618-4D52-AC37-A91031A07FE1}">
  <sheetPr filterMode="1"/>
  <dimension ref="A1:Q364"/>
  <sheetViews>
    <sheetView tabSelected="1" zoomScale="115" zoomScaleNormal="115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J1" sqref="J1:J1048576"/>
    </sheetView>
  </sheetViews>
  <sheetFormatPr defaultColWidth="9.140625" defaultRowHeight="15" x14ac:dyDescent="0.25"/>
  <cols>
    <col min="1" max="1" width="29.28515625" bestFit="1" customWidth="1"/>
    <col min="2" max="2" width="36.42578125" bestFit="1" customWidth="1"/>
    <col min="3" max="3" width="22.7109375" customWidth="1"/>
    <col min="4" max="4" width="26.28515625" bestFit="1" customWidth="1"/>
    <col min="5" max="5" width="52.28515625" customWidth="1"/>
    <col min="6" max="6" width="13.28515625" bestFit="1" customWidth="1"/>
    <col min="7" max="7" width="40" style="4" customWidth="1"/>
    <col min="8" max="8" width="13.140625" style="4" bestFit="1" customWidth="1"/>
    <col min="9" max="9" width="8.5703125" bestFit="1" customWidth="1"/>
    <col min="10" max="10" width="25.28515625" bestFit="1" customWidth="1"/>
    <col min="11" max="11" width="13.42578125" bestFit="1" customWidth="1"/>
    <col min="12" max="12" width="28.140625" bestFit="1" customWidth="1"/>
    <col min="13" max="13" width="28.140625" customWidth="1"/>
    <col min="14" max="15" width="16.5703125" customWidth="1"/>
    <col min="16" max="16" width="84.7109375" customWidth="1"/>
    <col min="17" max="17" width="17" customWidth="1"/>
  </cols>
  <sheetData>
    <row r="1" spans="1:17" ht="26.25" thickBot="1" x14ac:dyDescent="0.3">
      <c r="A1" s="49" t="s">
        <v>42</v>
      </c>
      <c r="B1" s="49" t="s">
        <v>43</v>
      </c>
      <c r="C1" s="50" t="s">
        <v>44</v>
      </c>
      <c r="D1" s="50" t="s">
        <v>45</v>
      </c>
      <c r="E1" s="50" t="s">
        <v>46</v>
      </c>
      <c r="F1" s="50" t="s">
        <v>47</v>
      </c>
      <c r="G1" s="51" t="s">
        <v>236</v>
      </c>
      <c r="H1" s="50" t="s">
        <v>48</v>
      </c>
      <c r="I1" s="50" t="s">
        <v>49</v>
      </c>
      <c r="J1" s="50" t="s">
        <v>50</v>
      </c>
      <c r="K1" s="50" t="s">
        <v>51</v>
      </c>
      <c r="L1" s="50" t="s">
        <v>52</v>
      </c>
      <c r="M1" s="50" t="s">
        <v>53</v>
      </c>
      <c r="N1" s="19" t="s">
        <v>54</v>
      </c>
      <c r="O1" s="19" t="s">
        <v>55</v>
      </c>
      <c r="P1" s="25" t="s">
        <v>56</v>
      </c>
      <c r="Q1" s="25" t="s">
        <v>57</v>
      </c>
    </row>
    <row r="2" spans="1:17" ht="15.75" hidden="1" thickBot="1" x14ac:dyDescent="0.3">
      <c r="A2" s="52">
        <v>36</v>
      </c>
      <c r="B2" s="53" t="s">
        <v>58</v>
      </c>
      <c r="C2" s="54" t="s">
        <v>237</v>
      </c>
      <c r="D2" s="53" t="s">
        <v>59</v>
      </c>
      <c r="E2" s="54" t="s">
        <v>60</v>
      </c>
      <c r="F2" s="53" t="s">
        <v>61</v>
      </c>
      <c r="G2" s="55"/>
      <c r="H2" s="56">
        <v>45559</v>
      </c>
      <c r="I2" s="57">
        <v>0.72012731481481485</v>
      </c>
      <c r="J2" s="53" t="s">
        <v>143</v>
      </c>
      <c r="K2" s="54" t="s">
        <v>62</v>
      </c>
      <c r="L2" s="53" t="s">
        <v>238</v>
      </c>
      <c r="M2" s="58" t="s">
        <v>63</v>
      </c>
      <c r="N2" t="str">
        <f>IF(OR(K2="No Run",K2="Blocked",K2="N/A"),"No Run",IF(OR(K2="RBT"),"RBT","Executed"))</f>
        <v>RBT</v>
      </c>
      <c r="O2" t="str">
        <f>IF(OR(K2="No Run",K2="Not Completed"),"Unfinished",IF(OR(K2="asdfs"),"RBT",IF(OR(K2="N/A"),"N/A",IF(OR(K2="Passed",K2="Failed",K2="RBT"),"Done",IF(OR(K2="Blocked"),"Blocked","-")))))</f>
        <v>Done</v>
      </c>
      <c r="P2" t="str">
        <f t="shared" ref="P2:P65" si="0">CONCATENATE(C2," - ",E2)</f>
        <v>U3400 R6.4 - NIC5 - Meter state transitions - New to xxx to Active</v>
      </c>
    </row>
    <row r="3" spans="1:17" ht="15.75" hidden="1" thickBot="1" x14ac:dyDescent="0.3">
      <c r="A3" s="52">
        <v>36</v>
      </c>
      <c r="B3" s="53" t="s">
        <v>58</v>
      </c>
      <c r="C3" s="54" t="s">
        <v>237</v>
      </c>
      <c r="D3" s="53" t="s">
        <v>59</v>
      </c>
      <c r="E3" s="54" t="s">
        <v>60</v>
      </c>
      <c r="F3" s="53" t="s">
        <v>61</v>
      </c>
      <c r="G3" s="55"/>
      <c r="H3" s="56">
        <v>45559</v>
      </c>
      <c r="I3" s="57">
        <v>0.72013888888888899</v>
      </c>
      <c r="J3" s="53" t="s">
        <v>143</v>
      </c>
      <c r="K3" s="54" t="s">
        <v>62</v>
      </c>
      <c r="L3" s="53" t="s">
        <v>238</v>
      </c>
      <c r="M3" s="58" t="s">
        <v>63</v>
      </c>
      <c r="N3" t="str">
        <f t="shared" ref="N3" si="1">IF(OR(K3="No Run",K3="Blocked",K3="N/A"),"No Run",IF(OR(K3="RBT"),"RBT","Executed"))</f>
        <v>RBT</v>
      </c>
      <c r="O3" t="str">
        <f t="shared" ref="O3:O66" si="2">IF(OR(K3="No Run",K3="Not Completed"),"Unfinished",IF(OR(K3="asdfs"),"RBT",IF(OR(K3="N/A"),"N/A",IF(OR(K3="Passed",K3="Failed",K3="RBT"),"Done",IF(OR(K3="Blocked"),"Blocked","-")))))</f>
        <v>Done</v>
      </c>
      <c r="P3" t="str">
        <f t="shared" si="0"/>
        <v>U3400 R6.4 - NIC5 - Meter state transitions - New to xxx to Active</v>
      </c>
    </row>
    <row r="4" spans="1:17" ht="15.75" hidden="1" thickBot="1" x14ac:dyDescent="0.3">
      <c r="A4" s="52">
        <v>36</v>
      </c>
      <c r="B4" s="53" t="s">
        <v>58</v>
      </c>
      <c r="C4" s="54" t="s">
        <v>239</v>
      </c>
      <c r="D4" s="53" t="s">
        <v>59</v>
      </c>
      <c r="E4" s="54" t="s">
        <v>60</v>
      </c>
      <c r="F4" s="53" t="s">
        <v>61</v>
      </c>
      <c r="G4" s="55"/>
      <c r="H4" s="56">
        <v>45559</v>
      </c>
      <c r="I4" s="57">
        <v>0.71958333333333335</v>
      </c>
      <c r="J4" s="53" t="s">
        <v>143</v>
      </c>
      <c r="K4" s="54" t="s">
        <v>62</v>
      </c>
      <c r="L4" s="53" t="s">
        <v>238</v>
      </c>
      <c r="M4" s="58" t="s">
        <v>63</v>
      </c>
      <c r="N4" t="str">
        <f t="shared" ref="N4:N67" si="3">IF(OR(K4="No Run",K4="Blocked",K4="N/A"),"No Run",IF(OR(K4="RBT"),"RBT","Executed"))</f>
        <v>RBT</v>
      </c>
      <c r="O4" t="str">
        <f t="shared" si="2"/>
        <v>Done</v>
      </c>
      <c r="P4" t="str">
        <f t="shared" si="0"/>
        <v>U3400 R6.4 - NIC3 - Meter state transitions - New to xxx to Active</v>
      </c>
    </row>
    <row r="5" spans="1:17" ht="15.75" hidden="1" thickBot="1" x14ac:dyDescent="0.3">
      <c r="A5" s="52">
        <v>36</v>
      </c>
      <c r="B5" s="53" t="s">
        <v>58</v>
      </c>
      <c r="C5" s="54" t="s">
        <v>239</v>
      </c>
      <c r="D5" s="53" t="s">
        <v>59</v>
      </c>
      <c r="E5" s="54" t="s">
        <v>60</v>
      </c>
      <c r="F5" s="53" t="s">
        <v>61</v>
      </c>
      <c r="G5" s="55"/>
      <c r="H5" s="56">
        <v>45559</v>
      </c>
      <c r="I5" s="57">
        <v>0.7195717592592592</v>
      </c>
      <c r="J5" s="53" t="s">
        <v>143</v>
      </c>
      <c r="K5" s="54" t="s">
        <v>62</v>
      </c>
      <c r="L5" s="53" t="s">
        <v>238</v>
      </c>
      <c r="M5" s="58" t="s">
        <v>63</v>
      </c>
      <c r="N5" t="str">
        <f t="shared" si="3"/>
        <v>RBT</v>
      </c>
      <c r="O5" t="str">
        <f t="shared" si="2"/>
        <v>Done</v>
      </c>
      <c r="P5" t="str">
        <f t="shared" si="0"/>
        <v>U3400 R6.4 - NIC3 - Meter state transitions - New to xxx to Active</v>
      </c>
    </row>
    <row r="6" spans="1:17" ht="15.75" hidden="1" thickBot="1" x14ac:dyDescent="0.3">
      <c r="A6" s="52">
        <v>36</v>
      </c>
      <c r="B6" s="53" t="s">
        <v>58</v>
      </c>
      <c r="C6" s="54" t="s">
        <v>240</v>
      </c>
      <c r="D6" s="53" t="s">
        <v>59</v>
      </c>
      <c r="E6" s="54" t="s">
        <v>60</v>
      </c>
      <c r="F6" s="53" t="s">
        <v>61</v>
      </c>
      <c r="G6" s="55"/>
      <c r="H6" s="56">
        <v>45559</v>
      </c>
      <c r="I6" s="57">
        <v>0.71859953703703694</v>
      </c>
      <c r="J6" s="53" t="s">
        <v>143</v>
      </c>
      <c r="K6" s="54" t="s">
        <v>62</v>
      </c>
      <c r="L6" s="53" t="s">
        <v>238</v>
      </c>
      <c r="M6" s="58" t="s">
        <v>64</v>
      </c>
      <c r="N6" t="str">
        <f t="shared" si="3"/>
        <v>RBT</v>
      </c>
      <c r="O6" t="str">
        <f t="shared" si="2"/>
        <v>Done</v>
      </c>
      <c r="P6" t="str">
        <f t="shared" si="0"/>
        <v>U1300 R6.4 - NIC5 - Meter state transitions - New to xxx to Active</v>
      </c>
    </row>
    <row r="7" spans="1:17" ht="15.75" hidden="1" thickBot="1" x14ac:dyDescent="0.3">
      <c r="A7" s="52">
        <v>36</v>
      </c>
      <c r="B7" s="53" t="s">
        <v>58</v>
      </c>
      <c r="C7" s="54" t="s">
        <v>240</v>
      </c>
      <c r="D7" s="53" t="s">
        <v>59</v>
      </c>
      <c r="E7" s="54" t="s">
        <v>60</v>
      </c>
      <c r="F7" s="53" t="s">
        <v>61</v>
      </c>
      <c r="G7" s="55"/>
      <c r="H7" s="56">
        <v>45559</v>
      </c>
      <c r="I7" s="57">
        <v>0.71861111111111109</v>
      </c>
      <c r="J7" s="53" t="s">
        <v>143</v>
      </c>
      <c r="K7" s="54" t="s">
        <v>62</v>
      </c>
      <c r="L7" s="53" t="s">
        <v>238</v>
      </c>
      <c r="M7" s="58" t="s">
        <v>64</v>
      </c>
      <c r="N7" t="str">
        <f t="shared" si="3"/>
        <v>RBT</v>
      </c>
      <c r="O7" t="str">
        <f t="shared" si="2"/>
        <v>Done</v>
      </c>
      <c r="P7" t="str">
        <f t="shared" si="0"/>
        <v>U1300 R6.4 - NIC5 - Meter state transitions - New to xxx to Active</v>
      </c>
    </row>
    <row r="8" spans="1:17" ht="15.75" hidden="1" thickBot="1" x14ac:dyDescent="0.3">
      <c r="A8" s="52">
        <v>36</v>
      </c>
      <c r="B8" s="53" t="s">
        <v>58</v>
      </c>
      <c r="C8" s="54" t="s">
        <v>241</v>
      </c>
      <c r="D8" s="53" t="s">
        <v>59</v>
      </c>
      <c r="E8" s="54" t="s">
        <v>60</v>
      </c>
      <c r="F8" s="53" t="s">
        <v>61</v>
      </c>
      <c r="G8" s="55"/>
      <c r="H8" s="56">
        <v>45559</v>
      </c>
      <c r="I8" s="57">
        <v>0.71833333333333327</v>
      </c>
      <c r="J8" s="53" t="s">
        <v>143</v>
      </c>
      <c r="K8" s="54" t="s">
        <v>62</v>
      </c>
      <c r="L8" s="53" t="s">
        <v>238</v>
      </c>
      <c r="M8" s="58" t="s">
        <v>64</v>
      </c>
      <c r="N8" t="str">
        <f t="shared" si="3"/>
        <v>RBT</v>
      </c>
      <c r="O8" t="str">
        <f t="shared" si="2"/>
        <v>Done</v>
      </c>
      <c r="P8" t="str">
        <f t="shared" si="0"/>
        <v>U1300 R6.4 - NIC3 - Meter state transitions - New to xxx to Active</v>
      </c>
    </row>
    <row r="9" spans="1:17" ht="15.75" hidden="1" thickBot="1" x14ac:dyDescent="0.3">
      <c r="A9" s="52">
        <v>36</v>
      </c>
      <c r="B9" s="53" t="s">
        <v>58</v>
      </c>
      <c r="C9" s="54" t="s">
        <v>241</v>
      </c>
      <c r="D9" s="53" t="s">
        <v>59</v>
      </c>
      <c r="E9" s="54" t="s">
        <v>60</v>
      </c>
      <c r="F9" s="53" t="s">
        <v>61</v>
      </c>
      <c r="G9" s="55"/>
      <c r="H9" s="56">
        <v>45559</v>
      </c>
      <c r="I9" s="57">
        <v>0.71829861111111104</v>
      </c>
      <c r="J9" s="53" t="s">
        <v>143</v>
      </c>
      <c r="K9" s="54" t="s">
        <v>62</v>
      </c>
      <c r="L9" s="53" t="s">
        <v>238</v>
      </c>
      <c r="M9" s="58" t="s">
        <v>64</v>
      </c>
      <c r="N9" t="str">
        <f t="shared" si="3"/>
        <v>RBT</v>
      </c>
      <c r="O9" t="str">
        <f t="shared" si="2"/>
        <v>Done</v>
      </c>
      <c r="P9" t="str">
        <f t="shared" si="0"/>
        <v>U1300 R6.4 - NIC3 - Meter state transitions - New to xxx to Active</v>
      </c>
    </row>
    <row r="10" spans="1:17" ht="15.75" thickBot="1" x14ac:dyDescent="0.3">
      <c r="A10" s="52">
        <v>32</v>
      </c>
      <c r="B10" s="53" t="s">
        <v>58</v>
      </c>
      <c r="C10" s="54" t="s">
        <v>241</v>
      </c>
      <c r="D10" s="53" t="s">
        <v>59</v>
      </c>
      <c r="E10" s="54" t="s">
        <v>65</v>
      </c>
      <c r="F10" s="53" t="s">
        <v>61</v>
      </c>
      <c r="G10" s="55"/>
      <c r="H10" s="56">
        <v>45559</v>
      </c>
      <c r="I10" s="57">
        <v>0.71835648148148146</v>
      </c>
      <c r="J10" s="53" t="s">
        <v>62</v>
      </c>
      <c r="K10" s="54" t="s">
        <v>62</v>
      </c>
      <c r="L10" s="53" t="s">
        <v>238</v>
      </c>
      <c r="M10" s="58" t="s">
        <v>64</v>
      </c>
      <c r="N10" t="str">
        <f t="shared" si="3"/>
        <v>RBT</v>
      </c>
      <c r="O10" t="str">
        <f t="shared" si="2"/>
        <v>Done</v>
      </c>
      <c r="P10" t="str">
        <f t="shared" si="0"/>
        <v>U1300 R6.4 - NIC3 - Reloading RMA meters into UIQ</v>
      </c>
    </row>
    <row r="11" spans="1:17" ht="15.75" thickBot="1" x14ac:dyDescent="0.3">
      <c r="A11" s="52">
        <v>32</v>
      </c>
      <c r="B11" s="53" t="s">
        <v>58</v>
      </c>
      <c r="C11" s="54" t="s">
        <v>241</v>
      </c>
      <c r="D11" s="53" t="s">
        <v>59</v>
      </c>
      <c r="E11" s="54" t="s">
        <v>65</v>
      </c>
      <c r="F11" s="53" t="s">
        <v>61</v>
      </c>
      <c r="G11" s="55"/>
      <c r="H11" s="56">
        <v>45559</v>
      </c>
      <c r="I11" s="57">
        <v>0.7184490740740741</v>
      </c>
      <c r="J11" s="53" t="s">
        <v>62</v>
      </c>
      <c r="K11" s="54" t="s">
        <v>62</v>
      </c>
      <c r="L11" s="53" t="s">
        <v>238</v>
      </c>
      <c r="M11" s="58" t="s">
        <v>64</v>
      </c>
      <c r="N11" t="str">
        <f t="shared" si="3"/>
        <v>RBT</v>
      </c>
      <c r="O11" t="str">
        <f t="shared" si="2"/>
        <v>Done</v>
      </c>
      <c r="P11" t="str">
        <f t="shared" si="0"/>
        <v>U1300 R6.4 - NIC3 - Reloading RMA meters into UIQ</v>
      </c>
    </row>
    <row r="12" spans="1:17" ht="15.75" thickBot="1" x14ac:dyDescent="0.3">
      <c r="A12" s="52">
        <v>32</v>
      </c>
      <c r="B12" s="53" t="s">
        <v>58</v>
      </c>
      <c r="C12" s="54" t="s">
        <v>240</v>
      </c>
      <c r="D12" s="53" t="s">
        <v>59</v>
      </c>
      <c r="E12" s="54" t="s">
        <v>65</v>
      </c>
      <c r="F12" s="53" t="s">
        <v>61</v>
      </c>
      <c r="G12" s="55"/>
      <c r="H12" s="56">
        <v>45559</v>
      </c>
      <c r="I12" s="57">
        <v>0.71857638888888886</v>
      </c>
      <c r="J12" s="53" t="s">
        <v>62</v>
      </c>
      <c r="K12" s="54" t="s">
        <v>62</v>
      </c>
      <c r="L12" s="53" t="s">
        <v>238</v>
      </c>
      <c r="M12" s="58" t="s">
        <v>64</v>
      </c>
      <c r="N12" t="str">
        <f t="shared" si="3"/>
        <v>RBT</v>
      </c>
      <c r="O12" t="str">
        <f t="shared" si="2"/>
        <v>Done</v>
      </c>
      <c r="P12" t="str">
        <f t="shared" si="0"/>
        <v>U1300 R6.4 - NIC5 - Reloading RMA meters into UIQ</v>
      </c>
    </row>
    <row r="13" spans="1:17" ht="15.75" thickBot="1" x14ac:dyDescent="0.3">
      <c r="A13" s="52">
        <v>32</v>
      </c>
      <c r="B13" s="53" t="s">
        <v>58</v>
      </c>
      <c r="C13" s="54" t="s">
        <v>240</v>
      </c>
      <c r="D13" s="53" t="s">
        <v>59</v>
      </c>
      <c r="E13" s="54" t="s">
        <v>65</v>
      </c>
      <c r="F13" s="53" t="s">
        <v>61</v>
      </c>
      <c r="G13" s="55"/>
      <c r="H13" s="56">
        <v>45559</v>
      </c>
      <c r="I13" s="57">
        <v>0.71855324074074067</v>
      </c>
      <c r="J13" s="53" t="s">
        <v>62</v>
      </c>
      <c r="K13" s="54" t="s">
        <v>62</v>
      </c>
      <c r="L13" s="53" t="s">
        <v>238</v>
      </c>
      <c r="M13" s="58" t="s">
        <v>64</v>
      </c>
      <c r="N13" t="str">
        <f t="shared" si="3"/>
        <v>RBT</v>
      </c>
      <c r="O13" t="str">
        <f t="shared" si="2"/>
        <v>Done</v>
      </c>
      <c r="P13" t="str">
        <f t="shared" si="0"/>
        <v>U1300 R6.4 - NIC5 - Reloading RMA meters into UIQ</v>
      </c>
    </row>
    <row r="14" spans="1:17" ht="15.75" thickBot="1" x14ac:dyDescent="0.3">
      <c r="A14" s="52">
        <v>32</v>
      </c>
      <c r="B14" s="53" t="s">
        <v>58</v>
      </c>
      <c r="C14" s="54" t="s">
        <v>239</v>
      </c>
      <c r="D14" s="53" t="s">
        <v>59</v>
      </c>
      <c r="E14" s="54" t="s">
        <v>65</v>
      </c>
      <c r="F14" s="53" t="s">
        <v>61</v>
      </c>
      <c r="G14" s="55"/>
      <c r="H14" s="56">
        <v>45559</v>
      </c>
      <c r="I14" s="57">
        <v>0.71995370370370371</v>
      </c>
      <c r="J14" s="53" t="s">
        <v>62</v>
      </c>
      <c r="K14" s="54" t="s">
        <v>62</v>
      </c>
      <c r="L14" s="53" t="s">
        <v>238</v>
      </c>
      <c r="M14" s="58" t="s">
        <v>63</v>
      </c>
      <c r="N14" t="str">
        <f t="shared" si="3"/>
        <v>RBT</v>
      </c>
      <c r="O14" t="str">
        <f t="shared" si="2"/>
        <v>Done</v>
      </c>
      <c r="P14" t="str">
        <f t="shared" si="0"/>
        <v>U3400 R6.4 - NIC3 - Reloading RMA meters into UIQ</v>
      </c>
    </row>
    <row r="15" spans="1:17" ht="15.75" thickBot="1" x14ac:dyDescent="0.3">
      <c r="A15" s="52">
        <v>32</v>
      </c>
      <c r="B15" s="53" t="s">
        <v>58</v>
      </c>
      <c r="C15" s="54" t="s">
        <v>239</v>
      </c>
      <c r="D15" s="53" t="s">
        <v>59</v>
      </c>
      <c r="E15" s="54" t="s">
        <v>65</v>
      </c>
      <c r="F15" s="53" t="s">
        <v>61</v>
      </c>
      <c r="G15" s="55"/>
      <c r="H15" s="56">
        <v>45559</v>
      </c>
      <c r="I15" s="57">
        <v>0.71960648148148154</v>
      </c>
      <c r="J15" s="53" t="s">
        <v>62</v>
      </c>
      <c r="K15" s="54" t="s">
        <v>62</v>
      </c>
      <c r="L15" s="53" t="s">
        <v>238</v>
      </c>
      <c r="M15" s="58" t="s">
        <v>63</v>
      </c>
      <c r="N15" t="str">
        <f t="shared" si="3"/>
        <v>RBT</v>
      </c>
      <c r="O15" t="str">
        <f t="shared" si="2"/>
        <v>Done</v>
      </c>
      <c r="P15" t="str">
        <f t="shared" si="0"/>
        <v>U3400 R6.4 - NIC3 - Reloading RMA meters into UIQ</v>
      </c>
    </row>
    <row r="16" spans="1:17" ht="15.75" thickBot="1" x14ac:dyDescent="0.3">
      <c r="A16" s="52">
        <v>32</v>
      </c>
      <c r="B16" s="53" t="s">
        <v>58</v>
      </c>
      <c r="C16" s="54" t="s">
        <v>237</v>
      </c>
      <c r="D16" s="53" t="s">
        <v>59</v>
      </c>
      <c r="E16" s="54" t="s">
        <v>65</v>
      </c>
      <c r="F16" s="53" t="s">
        <v>61</v>
      </c>
      <c r="G16" s="55"/>
      <c r="H16" s="56">
        <v>45559</v>
      </c>
      <c r="I16" s="57">
        <v>0.7201157407407407</v>
      </c>
      <c r="J16" s="53" t="s">
        <v>62</v>
      </c>
      <c r="K16" s="54" t="s">
        <v>62</v>
      </c>
      <c r="L16" s="53" t="s">
        <v>238</v>
      </c>
      <c r="M16" s="58" t="s">
        <v>63</v>
      </c>
      <c r="N16" t="str">
        <f t="shared" si="3"/>
        <v>RBT</v>
      </c>
      <c r="O16" t="str">
        <f t="shared" si="2"/>
        <v>Done</v>
      </c>
      <c r="P16" t="str">
        <f t="shared" si="0"/>
        <v>U3400 R6.4 - NIC5 - Reloading RMA meters into UIQ</v>
      </c>
    </row>
    <row r="17" spans="1:16" ht="15.75" thickBot="1" x14ac:dyDescent="0.3">
      <c r="A17" s="52">
        <v>32</v>
      </c>
      <c r="B17" s="53" t="s">
        <v>58</v>
      </c>
      <c r="C17" s="54" t="s">
        <v>237</v>
      </c>
      <c r="D17" s="53" t="s">
        <v>59</v>
      </c>
      <c r="E17" s="54" t="s">
        <v>65</v>
      </c>
      <c r="F17" s="53" t="s">
        <v>61</v>
      </c>
      <c r="G17" s="55"/>
      <c r="H17" s="56">
        <v>45559</v>
      </c>
      <c r="I17" s="57">
        <v>0.72009259259259262</v>
      </c>
      <c r="J17" s="53" t="s">
        <v>62</v>
      </c>
      <c r="K17" s="54" t="s">
        <v>62</v>
      </c>
      <c r="L17" s="53" t="s">
        <v>238</v>
      </c>
      <c r="M17" s="58" t="s">
        <v>63</v>
      </c>
      <c r="N17" t="str">
        <f t="shared" si="3"/>
        <v>RBT</v>
      </c>
      <c r="O17" t="str">
        <f t="shared" si="2"/>
        <v>Done</v>
      </c>
      <c r="P17" t="str">
        <f t="shared" si="0"/>
        <v>U3400 R6.4 - NIC5 - Reloading RMA meters into UIQ</v>
      </c>
    </row>
    <row r="18" spans="1:16" ht="26.25" hidden="1" thickBot="1" x14ac:dyDescent="0.3">
      <c r="A18" s="52">
        <v>963</v>
      </c>
      <c r="B18" s="53" t="s">
        <v>58</v>
      </c>
      <c r="C18" s="54" t="s">
        <v>239</v>
      </c>
      <c r="D18" s="53" t="s">
        <v>66</v>
      </c>
      <c r="E18" s="54" t="s">
        <v>67</v>
      </c>
      <c r="F18" s="53" t="s">
        <v>68</v>
      </c>
      <c r="G18" s="55"/>
      <c r="H18" s="56">
        <v>45566</v>
      </c>
      <c r="I18" s="57">
        <v>0.67685185185185182</v>
      </c>
      <c r="J18" s="53" t="s">
        <v>69</v>
      </c>
      <c r="K18" s="54" t="s">
        <v>69</v>
      </c>
      <c r="L18" s="53" t="s">
        <v>238</v>
      </c>
      <c r="M18" s="58" t="s">
        <v>63</v>
      </c>
      <c r="N18" t="str">
        <f t="shared" si="3"/>
        <v>Executed</v>
      </c>
      <c r="O18" t="str">
        <f t="shared" si="2"/>
        <v>Done</v>
      </c>
      <c r="P18" t="str">
        <f t="shared" si="0"/>
        <v>U3400 R6.4 - NIC3 - 01 Meter Time synchronisation to NIC - forward within interval (Auto)</v>
      </c>
    </row>
    <row r="19" spans="1:16" ht="26.25" hidden="1" thickBot="1" x14ac:dyDescent="0.3">
      <c r="A19" s="52">
        <v>153</v>
      </c>
      <c r="B19" s="53" t="s">
        <v>58</v>
      </c>
      <c r="C19" s="54" t="s">
        <v>239</v>
      </c>
      <c r="D19" s="53" t="s">
        <v>66</v>
      </c>
      <c r="E19" s="54" t="s">
        <v>70</v>
      </c>
      <c r="F19" s="53" t="s">
        <v>61</v>
      </c>
      <c r="G19" s="55"/>
      <c r="H19" s="56">
        <v>45567</v>
      </c>
      <c r="I19" s="57">
        <v>0.47631944444444446</v>
      </c>
      <c r="J19" s="53" t="s">
        <v>69</v>
      </c>
      <c r="K19" s="54" t="s">
        <v>69</v>
      </c>
      <c r="L19" s="53" t="s">
        <v>238</v>
      </c>
      <c r="M19" s="58" t="s">
        <v>63</v>
      </c>
      <c r="N19" t="str">
        <f t="shared" si="3"/>
        <v>Executed</v>
      </c>
      <c r="O19" t="str">
        <f t="shared" si="2"/>
        <v>Done</v>
      </c>
      <c r="P19" t="str">
        <f t="shared" si="0"/>
        <v>U3400 R6.4 - NIC3 - 02 Meter Time synchronisation to NIC - forward within interval (Force)</v>
      </c>
    </row>
    <row r="20" spans="1:16" ht="26.25" hidden="1" thickBot="1" x14ac:dyDescent="0.3">
      <c r="A20" s="52">
        <v>154</v>
      </c>
      <c r="B20" s="53" t="s">
        <v>58</v>
      </c>
      <c r="C20" s="54" t="s">
        <v>239</v>
      </c>
      <c r="D20" s="53" t="s">
        <v>66</v>
      </c>
      <c r="E20" s="54" t="s">
        <v>71</v>
      </c>
      <c r="F20" s="53" t="s">
        <v>68</v>
      </c>
      <c r="G20" s="55"/>
      <c r="H20" s="56">
        <v>45567</v>
      </c>
      <c r="I20" s="57">
        <v>0.57175925925925919</v>
      </c>
      <c r="J20" s="53" t="s">
        <v>69</v>
      </c>
      <c r="K20" s="54" t="s">
        <v>69</v>
      </c>
      <c r="L20" s="53" t="s">
        <v>238</v>
      </c>
      <c r="M20" s="58" t="s">
        <v>63</v>
      </c>
      <c r="N20" t="str">
        <f t="shared" si="3"/>
        <v>Executed</v>
      </c>
      <c r="O20" t="str">
        <f t="shared" si="2"/>
        <v>Done</v>
      </c>
      <c r="P20" t="str">
        <f t="shared" si="0"/>
        <v>U3400 R6.4 - NIC3 - 03 Meter Time synchronisation to NIC - backward within interval (Auto)</v>
      </c>
    </row>
    <row r="21" spans="1:16" ht="26.25" hidden="1" thickBot="1" x14ac:dyDescent="0.3">
      <c r="A21" s="52">
        <v>158</v>
      </c>
      <c r="B21" s="53" t="s">
        <v>58</v>
      </c>
      <c r="C21" s="54" t="s">
        <v>239</v>
      </c>
      <c r="D21" s="53" t="s">
        <v>66</v>
      </c>
      <c r="E21" s="54" t="s">
        <v>72</v>
      </c>
      <c r="F21" s="53" t="s">
        <v>61</v>
      </c>
      <c r="G21" s="55"/>
      <c r="H21" s="56">
        <v>45567</v>
      </c>
      <c r="I21" s="57">
        <v>0.60923611111111109</v>
      </c>
      <c r="J21" s="53" t="s">
        <v>69</v>
      </c>
      <c r="K21" s="54" t="s">
        <v>69</v>
      </c>
      <c r="L21" s="53" t="s">
        <v>238</v>
      </c>
      <c r="M21" s="58" t="s">
        <v>63</v>
      </c>
      <c r="N21" t="str">
        <f t="shared" si="3"/>
        <v>Executed</v>
      </c>
      <c r="O21" t="str">
        <f t="shared" si="2"/>
        <v>Done</v>
      </c>
      <c r="P21" t="str">
        <f t="shared" si="0"/>
        <v>U3400 R6.4 - NIC3 - 04 Meter Time synchronisation to NIC - backward within interval (Force)</v>
      </c>
    </row>
    <row r="22" spans="1:16" ht="26.25" hidden="1" thickBot="1" x14ac:dyDescent="0.3">
      <c r="A22" s="52">
        <v>156</v>
      </c>
      <c r="B22" s="53" t="s">
        <v>58</v>
      </c>
      <c r="C22" s="54" t="s">
        <v>239</v>
      </c>
      <c r="D22" s="53" t="s">
        <v>66</v>
      </c>
      <c r="E22" s="54" t="s">
        <v>73</v>
      </c>
      <c r="F22" s="53" t="s">
        <v>68</v>
      </c>
      <c r="G22" s="55"/>
      <c r="H22" s="56">
        <v>45567</v>
      </c>
      <c r="I22" s="57">
        <v>0.65431712962962962</v>
      </c>
      <c r="J22" s="53" t="s">
        <v>69</v>
      </c>
      <c r="K22" s="54" t="s">
        <v>69</v>
      </c>
      <c r="L22" s="53" t="s">
        <v>238</v>
      </c>
      <c r="M22" s="58" t="s">
        <v>63</v>
      </c>
      <c r="N22" t="str">
        <f t="shared" si="3"/>
        <v>Executed</v>
      </c>
      <c r="O22" t="str">
        <f t="shared" si="2"/>
        <v>Done</v>
      </c>
      <c r="P22" t="str">
        <f t="shared" si="0"/>
        <v>U3400 R6.4 - NIC3 - 05 Meter Time synchronisation to NIC - forward crossing interval (Auto)</v>
      </c>
    </row>
    <row r="23" spans="1:16" ht="26.25" hidden="1" thickBot="1" x14ac:dyDescent="0.3">
      <c r="A23" s="52">
        <v>157</v>
      </c>
      <c r="B23" s="53" t="s">
        <v>58</v>
      </c>
      <c r="C23" s="54" t="s">
        <v>239</v>
      </c>
      <c r="D23" s="53" t="s">
        <v>66</v>
      </c>
      <c r="E23" s="54" t="s">
        <v>74</v>
      </c>
      <c r="F23" s="53" t="s">
        <v>68</v>
      </c>
      <c r="G23" s="55"/>
      <c r="H23" s="56">
        <v>45568</v>
      </c>
      <c r="I23" s="57">
        <v>0.46121527777777777</v>
      </c>
      <c r="J23" s="53" t="s">
        <v>69</v>
      </c>
      <c r="K23" s="54" t="s">
        <v>69</v>
      </c>
      <c r="L23" s="53" t="s">
        <v>238</v>
      </c>
      <c r="M23" s="58" t="s">
        <v>63</v>
      </c>
      <c r="N23" t="str">
        <f t="shared" si="3"/>
        <v>Executed</v>
      </c>
      <c r="O23" t="str">
        <f t="shared" si="2"/>
        <v>Done</v>
      </c>
      <c r="P23" t="str">
        <f t="shared" si="0"/>
        <v>U3400 R6.4 - NIC3 - 06 Meter Time synchronisation to NIC - forward crossing interval (Force)</v>
      </c>
    </row>
    <row r="24" spans="1:16" ht="26.25" hidden="1" thickBot="1" x14ac:dyDescent="0.3">
      <c r="A24" s="52">
        <v>159</v>
      </c>
      <c r="B24" s="53" t="s">
        <v>58</v>
      </c>
      <c r="C24" s="54" t="s">
        <v>239</v>
      </c>
      <c r="D24" s="53" t="s">
        <v>66</v>
      </c>
      <c r="E24" s="54" t="s">
        <v>75</v>
      </c>
      <c r="F24" s="53" t="s">
        <v>68</v>
      </c>
      <c r="G24" s="55"/>
      <c r="H24" s="56">
        <v>45579</v>
      </c>
      <c r="I24" s="57">
        <v>0.67945601851851845</v>
      </c>
      <c r="J24" s="53" t="s">
        <v>69</v>
      </c>
      <c r="K24" s="54" t="s">
        <v>69</v>
      </c>
      <c r="L24" s="53" t="s">
        <v>238</v>
      </c>
      <c r="M24" s="58" t="s">
        <v>63</v>
      </c>
      <c r="N24" t="str">
        <f t="shared" si="3"/>
        <v>Executed</v>
      </c>
      <c r="O24" t="str">
        <f t="shared" si="2"/>
        <v>Done</v>
      </c>
      <c r="P24" t="str">
        <f t="shared" si="0"/>
        <v>U3400 R6.4 - NIC3 - 07 Meter Time synchronisation to NIC - backward crossing interval (Auto)</v>
      </c>
    </row>
    <row r="25" spans="1:16" ht="26.25" hidden="1" thickBot="1" x14ac:dyDescent="0.3">
      <c r="A25" s="52">
        <v>964</v>
      </c>
      <c r="B25" s="53" t="s">
        <v>58</v>
      </c>
      <c r="C25" s="54" t="s">
        <v>239</v>
      </c>
      <c r="D25" s="53" t="s">
        <v>66</v>
      </c>
      <c r="E25" s="54" t="s">
        <v>76</v>
      </c>
      <c r="F25" s="53" t="s">
        <v>68</v>
      </c>
      <c r="G25" s="55"/>
      <c r="H25" s="56">
        <v>45579</v>
      </c>
      <c r="I25" s="57">
        <v>0.68047453703703698</v>
      </c>
      <c r="J25" s="53" t="s">
        <v>69</v>
      </c>
      <c r="K25" s="54" t="s">
        <v>69</v>
      </c>
      <c r="L25" s="53" t="s">
        <v>238</v>
      </c>
      <c r="M25" s="58" t="s">
        <v>63</v>
      </c>
      <c r="N25" t="str">
        <f t="shared" si="3"/>
        <v>Executed</v>
      </c>
      <c r="O25" t="str">
        <f t="shared" si="2"/>
        <v>Done</v>
      </c>
      <c r="P25" t="str">
        <f t="shared" si="0"/>
        <v>U3400 R6.4 - NIC3 - 08 Meter Time synchronisation to NIC - backward crossing interval (Force)</v>
      </c>
    </row>
    <row r="26" spans="1:16" ht="26.25" hidden="1" thickBot="1" x14ac:dyDescent="0.3">
      <c r="A26" s="52">
        <v>963</v>
      </c>
      <c r="B26" s="53" t="s">
        <v>58</v>
      </c>
      <c r="C26" s="54" t="s">
        <v>241</v>
      </c>
      <c r="D26" s="53" t="s">
        <v>66</v>
      </c>
      <c r="E26" s="54" t="s">
        <v>67</v>
      </c>
      <c r="F26" s="53" t="s">
        <v>68</v>
      </c>
      <c r="G26" s="55"/>
      <c r="H26" s="56">
        <v>45576</v>
      </c>
      <c r="I26" s="57">
        <v>0.42964120370370368</v>
      </c>
      <c r="J26" s="53" t="s">
        <v>69</v>
      </c>
      <c r="K26" s="54" t="s">
        <v>69</v>
      </c>
      <c r="L26" s="53" t="s">
        <v>242</v>
      </c>
      <c r="M26" s="58" t="s">
        <v>64</v>
      </c>
      <c r="N26" t="str">
        <f t="shared" si="3"/>
        <v>Executed</v>
      </c>
      <c r="O26" t="str">
        <f t="shared" si="2"/>
        <v>Done</v>
      </c>
      <c r="P26" t="str">
        <f t="shared" si="0"/>
        <v>U1300 R6.4 - NIC3 - 01 Meter Time synchronisation to NIC - forward within interval (Auto)</v>
      </c>
    </row>
    <row r="27" spans="1:16" ht="26.25" hidden="1" thickBot="1" x14ac:dyDescent="0.3">
      <c r="A27" s="52">
        <v>153</v>
      </c>
      <c r="B27" s="53" t="s">
        <v>58</v>
      </c>
      <c r="C27" s="54" t="s">
        <v>241</v>
      </c>
      <c r="D27" s="53" t="s">
        <v>66</v>
      </c>
      <c r="E27" s="54" t="s">
        <v>70</v>
      </c>
      <c r="F27" s="53" t="s">
        <v>61</v>
      </c>
      <c r="G27" s="55"/>
      <c r="H27" s="56">
        <v>45576</v>
      </c>
      <c r="I27" s="57">
        <v>0.48693287037037036</v>
      </c>
      <c r="J27" s="53" t="s">
        <v>69</v>
      </c>
      <c r="K27" s="54" t="s">
        <v>69</v>
      </c>
      <c r="L27" s="53" t="s">
        <v>242</v>
      </c>
      <c r="M27" s="58" t="s">
        <v>64</v>
      </c>
      <c r="N27" t="str">
        <f t="shared" si="3"/>
        <v>Executed</v>
      </c>
      <c r="O27" t="str">
        <f t="shared" si="2"/>
        <v>Done</v>
      </c>
      <c r="P27" t="str">
        <f t="shared" si="0"/>
        <v>U1300 R6.4 - NIC3 - 02 Meter Time synchronisation to NIC - forward within interval (Force)</v>
      </c>
    </row>
    <row r="28" spans="1:16" ht="26.25" hidden="1" thickBot="1" x14ac:dyDescent="0.3">
      <c r="A28" s="52">
        <v>154</v>
      </c>
      <c r="B28" s="53" t="s">
        <v>58</v>
      </c>
      <c r="C28" s="54" t="s">
        <v>241</v>
      </c>
      <c r="D28" s="53" t="s">
        <v>66</v>
      </c>
      <c r="E28" s="54" t="s">
        <v>71</v>
      </c>
      <c r="F28" s="53" t="s">
        <v>68</v>
      </c>
      <c r="G28" s="55"/>
      <c r="H28" s="56">
        <v>45576</v>
      </c>
      <c r="I28" s="57">
        <v>0.6196180555555556</v>
      </c>
      <c r="J28" s="53" t="s">
        <v>69</v>
      </c>
      <c r="K28" s="54" t="s">
        <v>69</v>
      </c>
      <c r="L28" s="53" t="s">
        <v>242</v>
      </c>
      <c r="M28" s="58" t="s">
        <v>64</v>
      </c>
      <c r="N28" t="str">
        <f t="shared" si="3"/>
        <v>Executed</v>
      </c>
      <c r="O28" t="str">
        <f t="shared" si="2"/>
        <v>Done</v>
      </c>
      <c r="P28" t="str">
        <f t="shared" si="0"/>
        <v>U1300 R6.4 - NIC3 - 03 Meter Time synchronisation to NIC - backward within interval (Auto)</v>
      </c>
    </row>
    <row r="29" spans="1:16" ht="26.25" hidden="1" thickBot="1" x14ac:dyDescent="0.3">
      <c r="A29" s="52">
        <v>158</v>
      </c>
      <c r="B29" s="53" t="s">
        <v>58</v>
      </c>
      <c r="C29" s="54" t="s">
        <v>241</v>
      </c>
      <c r="D29" s="53" t="s">
        <v>66</v>
      </c>
      <c r="E29" s="54" t="s">
        <v>72</v>
      </c>
      <c r="F29" s="53" t="s">
        <v>61</v>
      </c>
      <c r="G29" s="55"/>
      <c r="H29" s="56">
        <v>45576</v>
      </c>
      <c r="I29" s="57">
        <v>0.6586805555555556</v>
      </c>
      <c r="J29" s="53" t="s">
        <v>69</v>
      </c>
      <c r="K29" s="54" t="s">
        <v>69</v>
      </c>
      <c r="L29" s="53" t="s">
        <v>242</v>
      </c>
      <c r="M29" s="58" t="s">
        <v>64</v>
      </c>
      <c r="N29" t="str">
        <f t="shared" si="3"/>
        <v>Executed</v>
      </c>
      <c r="O29" t="str">
        <f t="shared" si="2"/>
        <v>Done</v>
      </c>
      <c r="P29" t="str">
        <f t="shared" si="0"/>
        <v>U1300 R6.4 - NIC3 - 04 Meter Time synchronisation to NIC - backward within interval (Force)</v>
      </c>
    </row>
    <row r="30" spans="1:16" ht="26.25" hidden="1" thickBot="1" x14ac:dyDescent="0.3">
      <c r="A30" s="52">
        <v>156</v>
      </c>
      <c r="B30" s="53" t="s">
        <v>58</v>
      </c>
      <c r="C30" s="54" t="s">
        <v>241</v>
      </c>
      <c r="D30" s="53" t="s">
        <v>66</v>
      </c>
      <c r="E30" s="54" t="s">
        <v>73</v>
      </c>
      <c r="F30" s="53" t="s">
        <v>68</v>
      </c>
      <c r="G30" s="55"/>
      <c r="H30" s="56">
        <v>45576</v>
      </c>
      <c r="I30" s="57">
        <v>0.71847222222222218</v>
      </c>
      <c r="J30" s="53" t="s">
        <v>69</v>
      </c>
      <c r="K30" s="54" t="s">
        <v>69</v>
      </c>
      <c r="L30" s="53" t="s">
        <v>242</v>
      </c>
      <c r="M30" s="58" t="s">
        <v>64</v>
      </c>
      <c r="N30" t="str">
        <f t="shared" si="3"/>
        <v>Executed</v>
      </c>
      <c r="O30" t="str">
        <f t="shared" si="2"/>
        <v>Done</v>
      </c>
      <c r="P30" t="str">
        <f t="shared" si="0"/>
        <v>U1300 R6.4 - NIC3 - 05 Meter Time synchronisation to NIC - forward crossing interval (Auto)</v>
      </c>
    </row>
    <row r="31" spans="1:16" ht="26.25" hidden="1" thickBot="1" x14ac:dyDescent="0.3">
      <c r="A31" s="52">
        <v>157</v>
      </c>
      <c r="B31" s="53" t="s">
        <v>58</v>
      </c>
      <c r="C31" s="54" t="s">
        <v>241</v>
      </c>
      <c r="D31" s="53" t="s">
        <v>66</v>
      </c>
      <c r="E31" s="54" t="s">
        <v>74</v>
      </c>
      <c r="F31" s="53" t="s">
        <v>68</v>
      </c>
      <c r="G31" s="55"/>
      <c r="H31" s="56">
        <v>45579</v>
      </c>
      <c r="I31" s="57">
        <v>0.41516203703703702</v>
      </c>
      <c r="J31" s="53" t="s">
        <v>69</v>
      </c>
      <c r="K31" s="54" t="s">
        <v>69</v>
      </c>
      <c r="L31" s="53" t="s">
        <v>242</v>
      </c>
      <c r="M31" s="58" t="s">
        <v>64</v>
      </c>
      <c r="N31" t="str">
        <f t="shared" si="3"/>
        <v>Executed</v>
      </c>
      <c r="O31" t="str">
        <f t="shared" si="2"/>
        <v>Done</v>
      </c>
      <c r="P31" t="str">
        <f t="shared" si="0"/>
        <v>U1300 R6.4 - NIC3 - 06 Meter Time synchronisation to NIC - forward crossing interval (Force)</v>
      </c>
    </row>
    <row r="32" spans="1:16" ht="26.25" hidden="1" thickBot="1" x14ac:dyDescent="0.3">
      <c r="A32" s="52">
        <v>159</v>
      </c>
      <c r="B32" s="53" t="s">
        <v>58</v>
      </c>
      <c r="C32" s="54" t="s">
        <v>241</v>
      </c>
      <c r="D32" s="53" t="s">
        <v>66</v>
      </c>
      <c r="E32" s="54" t="s">
        <v>75</v>
      </c>
      <c r="F32" s="53" t="s">
        <v>68</v>
      </c>
      <c r="G32" s="55"/>
      <c r="H32" s="56">
        <v>45579</v>
      </c>
      <c r="I32" s="57">
        <v>0.47237268518518521</v>
      </c>
      <c r="J32" s="53" t="s">
        <v>69</v>
      </c>
      <c r="K32" s="54" t="s">
        <v>69</v>
      </c>
      <c r="L32" s="53" t="s">
        <v>242</v>
      </c>
      <c r="M32" s="58" t="s">
        <v>64</v>
      </c>
      <c r="N32" t="str">
        <f t="shared" si="3"/>
        <v>Executed</v>
      </c>
      <c r="O32" t="str">
        <f t="shared" si="2"/>
        <v>Done</v>
      </c>
      <c r="P32" t="str">
        <f t="shared" si="0"/>
        <v>U1300 R6.4 - NIC3 - 07 Meter Time synchronisation to NIC - backward crossing interval (Auto)</v>
      </c>
    </row>
    <row r="33" spans="1:16" ht="26.25" hidden="1" thickBot="1" x14ac:dyDescent="0.3">
      <c r="A33" s="52">
        <v>964</v>
      </c>
      <c r="B33" s="53" t="s">
        <v>58</v>
      </c>
      <c r="C33" s="54" t="s">
        <v>241</v>
      </c>
      <c r="D33" s="53" t="s">
        <v>66</v>
      </c>
      <c r="E33" s="54" t="s">
        <v>76</v>
      </c>
      <c r="F33" s="53" t="s">
        <v>68</v>
      </c>
      <c r="G33" s="55"/>
      <c r="H33" s="56">
        <v>45579</v>
      </c>
      <c r="I33" s="57">
        <v>0.54978009259259253</v>
      </c>
      <c r="J33" s="53" t="s">
        <v>69</v>
      </c>
      <c r="K33" s="54" t="s">
        <v>69</v>
      </c>
      <c r="L33" s="53" t="s">
        <v>242</v>
      </c>
      <c r="M33" s="58" t="s">
        <v>64</v>
      </c>
      <c r="N33" t="str">
        <f t="shared" si="3"/>
        <v>Executed</v>
      </c>
      <c r="O33" t="str">
        <f t="shared" si="2"/>
        <v>Done</v>
      </c>
      <c r="P33" t="str">
        <f t="shared" si="0"/>
        <v>U1300 R6.4 - NIC3 - 08 Meter Time synchronisation to NIC - backward crossing interval (Force)</v>
      </c>
    </row>
    <row r="34" spans="1:16" ht="26.25" hidden="1" thickBot="1" x14ac:dyDescent="0.3">
      <c r="A34" s="52">
        <v>963</v>
      </c>
      <c r="B34" s="53" t="s">
        <v>58</v>
      </c>
      <c r="C34" s="54" t="s">
        <v>237</v>
      </c>
      <c r="D34" s="53" t="s">
        <v>66</v>
      </c>
      <c r="E34" s="54" t="s">
        <v>67</v>
      </c>
      <c r="F34" s="53" t="s">
        <v>68</v>
      </c>
      <c r="G34" s="55"/>
      <c r="H34" s="56">
        <v>45566</v>
      </c>
      <c r="I34" s="57">
        <v>0.67690972222222223</v>
      </c>
      <c r="J34" s="53" t="s">
        <v>69</v>
      </c>
      <c r="K34" s="54" t="s">
        <v>69</v>
      </c>
      <c r="L34" s="53" t="s">
        <v>238</v>
      </c>
      <c r="M34" s="58" t="s">
        <v>63</v>
      </c>
      <c r="N34" t="str">
        <f t="shared" si="3"/>
        <v>Executed</v>
      </c>
      <c r="O34" t="str">
        <f t="shared" si="2"/>
        <v>Done</v>
      </c>
      <c r="P34" t="str">
        <f t="shared" si="0"/>
        <v>U3400 R6.4 - NIC5 - 01 Meter Time synchronisation to NIC - forward within interval (Auto)</v>
      </c>
    </row>
    <row r="35" spans="1:16" ht="26.25" hidden="1" thickBot="1" x14ac:dyDescent="0.3">
      <c r="A35" s="52">
        <v>153</v>
      </c>
      <c r="B35" s="53" t="s">
        <v>58</v>
      </c>
      <c r="C35" s="54" t="s">
        <v>237</v>
      </c>
      <c r="D35" s="53" t="s">
        <v>66</v>
      </c>
      <c r="E35" s="54" t="s">
        <v>70</v>
      </c>
      <c r="F35" s="53" t="s">
        <v>61</v>
      </c>
      <c r="G35" s="55"/>
      <c r="H35" s="56">
        <v>45567</v>
      </c>
      <c r="I35" s="57">
        <v>0.47629629629629627</v>
      </c>
      <c r="J35" s="53" t="s">
        <v>69</v>
      </c>
      <c r="K35" s="54" t="s">
        <v>69</v>
      </c>
      <c r="L35" s="53" t="s">
        <v>238</v>
      </c>
      <c r="M35" s="58" t="s">
        <v>63</v>
      </c>
      <c r="N35" t="str">
        <f t="shared" si="3"/>
        <v>Executed</v>
      </c>
      <c r="O35" t="str">
        <f t="shared" si="2"/>
        <v>Done</v>
      </c>
      <c r="P35" t="str">
        <f t="shared" si="0"/>
        <v>U3400 R6.4 - NIC5 - 02 Meter Time synchronisation to NIC - forward within interval (Force)</v>
      </c>
    </row>
    <row r="36" spans="1:16" ht="26.25" hidden="1" thickBot="1" x14ac:dyDescent="0.3">
      <c r="A36" s="52">
        <v>154</v>
      </c>
      <c r="B36" s="53" t="s">
        <v>58</v>
      </c>
      <c r="C36" s="54" t="s">
        <v>237</v>
      </c>
      <c r="D36" s="53" t="s">
        <v>66</v>
      </c>
      <c r="E36" s="54" t="s">
        <v>71</v>
      </c>
      <c r="F36" s="53" t="s">
        <v>68</v>
      </c>
      <c r="G36" s="55"/>
      <c r="H36" s="56">
        <v>45567</v>
      </c>
      <c r="I36" s="57">
        <v>0.57152777777777775</v>
      </c>
      <c r="J36" s="53" t="s">
        <v>69</v>
      </c>
      <c r="K36" s="54" t="s">
        <v>69</v>
      </c>
      <c r="L36" s="53" t="s">
        <v>238</v>
      </c>
      <c r="M36" s="58" t="s">
        <v>63</v>
      </c>
      <c r="N36" t="str">
        <f t="shared" si="3"/>
        <v>Executed</v>
      </c>
      <c r="O36" t="str">
        <f t="shared" si="2"/>
        <v>Done</v>
      </c>
      <c r="P36" t="str">
        <f t="shared" si="0"/>
        <v>U3400 R6.4 - NIC5 - 03 Meter Time synchronisation to NIC - backward within interval (Auto)</v>
      </c>
    </row>
    <row r="37" spans="1:16" ht="26.25" hidden="1" thickBot="1" x14ac:dyDescent="0.3">
      <c r="A37" s="52">
        <v>158</v>
      </c>
      <c r="B37" s="53" t="s">
        <v>58</v>
      </c>
      <c r="C37" s="54" t="s">
        <v>237</v>
      </c>
      <c r="D37" s="53" t="s">
        <v>66</v>
      </c>
      <c r="E37" s="54" t="s">
        <v>72</v>
      </c>
      <c r="F37" s="53" t="s">
        <v>61</v>
      </c>
      <c r="G37" s="55"/>
      <c r="H37" s="56">
        <v>45567</v>
      </c>
      <c r="I37" s="57">
        <v>0.60928240740740736</v>
      </c>
      <c r="J37" s="53" t="s">
        <v>69</v>
      </c>
      <c r="K37" s="54" t="s">
        <v>69</v>
      </c>
      <c r="L37" s="53" t="s">
        <v>238</v>
      </c>
      <c r="M37" s="58" t="s">
        <v>63</v>
      </c>
      <c r="N37" t="str">
        <f t="shared" si="3"/>
        <v>Executed</v>
      </c>
      <c r="O37" t="str">
        <f t="shared" si="2"/>
        <v>Done</v>
      </c>
      <c r="P37" t="str">
        <f t="shared" si="0"/>
        <v>U3400 R6.4 - NIC5 - 04 Meter Time synchronisation to NIC - backward within interval (Force)</v>
      </c>
    </row>
    <row r="38" spans="1:16" ht="26.25" hidden="1" thickBot="1" x14ac:dyDescent="0.3">
      <c r="A38" s="52">
        <v>156</v>
      </c>
      <c r="B38" s="53" t="s">
        <v>58</v>
      </c>
      <c r="C38" s="54" t="s">
        <v>237</v>
      </c>
      <c r="D38" s="53" t="s">
        <v>66</v>
      </c>
      <c r="E38" s="54" t="s">
        <v>73</v>
      </c>
      <c r="F38" s="53" t="s">
        <v>68</v>
      </c>
      <c r="G38" s="55"/>
      <c r="H38" s="56">
        <v>45567</v>
      </c>
      <c r="I38" s="57">
        <v>0.6514699074074074</v>
      </c>
      <c r="J38" s="53" t="s">
        <v>69</v>
      </c>
      <c r="K38" s="54" t="s">
        <v>69</v>
      </c>
      <c r="L38" s="53" t="s">
        <v>238</v>
      </c>
      <c r="M38" s="58" t="s">
        <v>63</v>
      </c>
      <c r="N38" t="str">
        <f t="shared" si="3"/>
        <v>Executed</v>
      </c>
      <c r="O38" t="str">
        <f t="shared" si="2"/>
        <v>Done</v>
      </c>
      <c r="P38" t="str">
        <f t="shared" si="0"/>
        <v>U3400 R6.4 - NIC5 - 05 Meter Time synchronisation to NIC - forward crossing interval (Auto)</v>
      </c>
    </row>
    <row r="39" spans="1:16" ht="26.25" hidden="1" thickBot="1" x14ac:dyDescent="0.3">
      <c r="A39" s="52">
        <v>157</v>
      </c>
      <c r="B39" s="53" t="s">
        <v>58</v>
      </c>
      <c r="C39" s="54" t="s">
        <v>237</v>
      </c>
      <c r="D39" s="53" t="s">
        <v>66</v>
      </c>
      <c r="E39" s="54" t="s">
        <v>74</v>
      </c>
      <c r="F39" s="53" t="s">
        <v>68</v>
      </c>
      <c r="G39" s="55"/>
      <c r="H39" s="56">
        <v>45568</v>
      </c>
      <c r="I39" s="57">
        <v>0.46124999999999999</v>
      </c>
      <c r="J39" s="53" t="s">
        <v>69</v>
      </c>
      <c r="K39" s="54" t="s">
        <v>69</v>
      </c>
      <c r="L39" s="53" t="s">
        <v>238</v>
      </c>
      <c r="M39" s="58" t="s">
        <v>63</v>
      </c>
      <c r="N39" t="str">
        <f t="shared" si="3"/>
        <v>Executed</v>
      </c>
      <c r="O39" t="str">
        <f t="shared" si="2"/>
        <v>Done</v>
      </c>
      <c r="P39" t="str">
        <f t="shared" si="0"/>
        <v>U3400 R6.4 - NIC5 - 06 Meter Time synchronisation to NIC - forward crossing interval (Force)</v>
      </c>
    </row>
    <row r="40" spans="1:16" ht="26.25" hidden="1" thickBot="1" x14ac:dyDescent="0.3">
      <c r="A40" s="52">
        <v>159</v>
      </c>
      <c r="B40" s="53" t="s">
        <v>58</v>
      </c>
      <c r="C40" s="54" t="s">
        <v>237</v>
      </c>
      <c r="D40" s="53" t="s">
        <v>66</v>
      </c>
      <c r="E40" s="54" t="s">
        <v>75</v>
      </c>
      <c r="F40" s="53" t="s">
        <v>68</v>
      </c>
      <c r="G40" s="55"/>
      <c r="H40" s="56">
        <v>45579</v>
      </c>
      <c r="I40" s="57">
        <v>0.68122685185185183</v>
      </c>
      <c r="J40" s="53" t="s">
        <v>69</v>
      </c>
      <c r="K40" s="54" t="s">
        <v>69</v>
      </c>
      <c r="L40" s="53" t="s">
        <v>238</v>
      </c>
      <c r="M40" s="58" t="s">
        <v>63</v>
      </c>
      <c r="N40" t="str">
        <f t="shared" si="3"/>
        <v>Executed</v>
      </c>
      <c r="O40" t="str">
        <f t="shared" si="2"/>
        <v>Done</v>
      </c>
      <c r="P40" t="str">
        <f t="shared" si="0"/>
        <v>U3400 R6.4 - NIC5 - 07 Meter Time synchronisation to NIC - backward crossing interval (Auto)</v>
      </c>
    </row>
    <row r="41" spans="1:16" ht="26.25" hidden="1" thickBot="1" x14ac:dyDescent="0.3">
      <c r="A41" s="52">
        <v>964</v>
      </c>
      <c r="B41" s="53" t="s">
        <v>58</v>
      </c>
      <c r="C41" s="54" t="s">
        <v>237</v>
      </c>
      <c r="D41" s="53" t="s">
        <v>66</v>
      </c>
      <c r="E41" s="54" t="s">
        <v>76</v>
      </c>
      <c r="F41" s="53" t="s">
        <v>68</v>
      </c>
      <c r="G41" s="55"/>
      <c r="H41" s="56">
        <v>45579</v>
      </c>
      <c r="I41" s="57">
        <v>0.6818171296296297</v>
      </c>
      <c r="J41" s="53" t="s">
        <v>69</v>
      </c>
      <c r="K41" s="54" t="s">
        <v>69</v>
      </c>
      <c r="L41" s="53" t="s">
        <v>238</v>
      </c>
      <c r="M41" s="58" t="s">
        <v>63</v>
      </c>
      <c r="N41" t="str">
        <f t="shared" si="3"/>
        <v>Executed</v>
      </c>
      <c r="O41" t="str">
        <f t="shared" si="2"/>
        <v>Done</v>
      </c>
      <c r="P41" t="str">
        <f t="shared" si="0"/>
        <v>U3400 R6.4 - NIC5 - 08 Meter Time synchronisation to NIC - backward crossing interval (Force)</v>
      </c>
    </row>
    <row r="42" spans="1:16" ht="26.25" hidden="1" thickBot="1" x14ac:dyDescent="0.3">
      <c r="A42" s="52">
        <v>963</v>
      </c>
      <c r="B42" s="53" t="s">
        <v>58</v>
      </c>
      <c r="C42" s="54" t="s">
        <v>240</v>
      </c>
      <c r="D42" s="53" t="s">
        <v>66</v>
      </c>
      <c r="E42" s="54" t="s">
        <v>67</v>
      </c>
      <c r="F42" s="53" t="s">
        <v>68</v>
      </c>
      <c r="G42" s="55"/>
      <c r="H42" s="56">
        <v>45576</v>
      </c>
      <c r="I42" s="57">
        <v>0.43251157407407409</v>
      </c>
      <c r="J42" s="53" t="s">
        <v>69</v>
      </c>
      <c r="K42" s="54" t="s">
        <v>69</v>
      </c>
      <c r="L42" s="53" t="s">
        <v>242</v>
      </c>
      <c r="M42" s="58" t="s">
        <v>64</v>
      </c>
      <c r="N42" t="str">
        <f t="shared" si="3"/>
        <v>Executed</v>
      </c>
      <c r="O42" t="str">
        <f t="shared" si="2"/>
        <v>Done</v>
      </c>
      <c r="P42" t="str">
        <f t="shared" si="0"/>
        <v>U1300 R6.4 - NIC5 - 01 Meter Time synchronisation to NIC - forward within interval (Auto)</v>
      </c>
    </row>
    <row r="43" spans="1:16" ht="26.25" hidden="1" thickBot="1" x14ac:dyDescent="0.3">
      <c r="A43" s="52">
        <v>153</v>
      </c>
      <c r="B43" s="53" t="s">
        <v>58</v>
      </c>
      <c r="C43" s="54" t="s">
        <v>240</v>
      </c>
      <c r="D43" s="53" t="s">
        <v>66</v>
      </c>
      <c r="E43" s="54" t="s">
        <v>70</v>
      </c>
      <c r="F43" s="53" t="s">
        <v>61</v>
      </c>
      <c r="G43" s="55"/>
      <c r="H43" s="56">
        <v>45576</v>
      </c>
      <c r="I43" s="57">
        <v>0.49472222222222223</v>
      </c>
      <c r="J43" s="53" t="s">
        <v>69</v>
      </c>
      <c r="K43" s="54" t="s">
        <v>69</v>
      </c>
      <c r="L43" s="53" t="s">
        <v>242</v>
      </c>
      <c r="M43" s="58" t="s">
        <v>64</v>
      </c>
      <c r="N43" t="str">
        <f t="shared" si="3"/>
        <v>Executed</v>
      </c>
      <c r="O43" t="str">
        <f t="shared" si="2"/>
        <v>Done</v>
      </c>
      <c r="P43" t="str">
        <f t="shared" si="0"/>
        <v>U1300 R6.4 - NIC5 - 02 Meter Time synchronisation to NIC - forward within interval (Force)</v>
      </c>
    </row>
    <row r="44" spans="1:16" ht="26.25" hidden="1" thickBot="1" x14ac:dyDescent="0.3">
      <c r="A44" s="52">
        <v>154</v>
      </c>
      <c r="B44" s="53" t="s">
        <v>58</v>
      </c>
      <c r="C44" s="54" t="s">
        <v>240</v>
      </c>
      <c r="D44" s="53" t="s">
        <v>66</v>
      </c>
      <c r="E44" s="54" t="s">
        <v>71</v>
      </c>
      <c r="F44" s="53" t="s">
        <v>68</v>
      </c>
      <c r="G44" s="55"/>
      <c r="H44" s="56">
        <v>45576</v>
      </c>
      <c r="I44" s="57">
        <v>0.61331018518518521</v>
      </c>
      <c r="J44" s="53" t="s">
        <v>69</v>
      </c>
      <c r="K44" s="54" t="s">
        <v>69</v>
      </c>
      <c r="L44" s="53" t="s">
        <v>242</v>
      </c>
      <c r="M44" s="58" t="s">
        <v>64</v>
      </c>
      <c r="N44" t="str">
        <f t="shared" si="3"/>
        <v>Executed</v>
      </c>
      <c r="O44" t="str">
        <f t="shared" si="2"/>
        <v>Done</v>
      </c>
      <c r="P44" t="str">
        <f t="shared" si="0"/>
        <v>U1300 R6.4 - NIC5 - 03 Meter Time synchronisation to NIC - backward within interval (Auto)</v>
      </c>
    </row>
    <row r="45" spans="1:16" ht="26.25" hidden="1" thickBot="1" x14ac:dyDescent="0.3">
      <c r="A45" s="52">
        <v>158</v>
      </c>
      <c r="B45" s="53" t="s">
        <v>58</v>
      </c>
      <c r="C45" s="54" t="s">
        <v>240</v>
      </c>
      <c r="D45" s="53" t="s">
        <v>66</v>
      </c>
      <c r="E45" s="54" t="s">
        <v>72</v>
      </c>
      <c r="F45" s="53" t="s">
        <v>61</v>
      </c>
      <c r="G45" s="55"/>
      <c r="H45" s="56">
        <v>45576</v>
      </c>
      <c r="I45" s="57">
        <v>0.66092592592592592</v>
      </c>
      <c r="J45" s="53" t="s">
        <v>69</v>
      </c>
      <c r="K45" s="54" t="s">
        <v>69</v>
      </c>
      <c r="L45" s="53" t="s">
        <v>242</v>
      </c>
      <c r="M45" s="58" t="s">
        <v>64</v>
      </c>
      <c r="N45" t="str">
        <f t="shared" si="3"/>
        <v>Executed</v>
      </c>
      <c r="O45" t="str">
        <f t="shared" si="2"/>
        <v>Done</v>
      </c>
      <c r="P45" t="str">
        <f t="shared" si="0"/>
        <v>U1300 R6.4 - NIC5 - 04 Meter Time synchronisation to NIC - backward within interval (Force)</v>
      </c>
    </row>
    <row r="46" spans="1:16" ht="26.25" hidden="1" thickBot="1" x14ac:dyDescent="0.3">
      <c r="A46" s="52">
        <v>156</v>
      </c>
      <c r="B46" s="53" t="s">
        <v>58</v>
      </c>
      <c r="C46" s="54" t="s">
        <v>240</v>
      </c>
      <c r="D46" s="53" t="s">
        <v>66</v>
      </c>
      <c r="E46" s="54" t="s">
        <v>73</v>
      </c>
      <c r="F46" s="53" t="s">
        <v>68</v>
      </c>
      <c r="G46" s="55"/>
      <c r="H46" s="56">
        <v>45576</v>
      </c>
      <c r="I46" s="57">
        <v>0.72168981481481476</v>
      </c>
      <c r="J46" s="53" t="s">
        <v>69</v>
      </c>
      <c r="K46" s="54" t="s">
        <v>69</v>
      </c>
      <c r="L46" s="53" t="s">
        <v>242</v>
      </c>
      <c r="M46" s="58" t="s">
        <v>64</v>
      </c>
      <c r="N46" t="str">
        <f t="shared" si="3"/>
        <v>Executed</v>
      </c>
      <c r="O46" t="str">
        <f t="shared" si="2"/>
        <v>Done</v>
      </c>
      <c r="P46" t="str">
        <f t="shared" si="0"/>
        <v>U1300 R6.4 - NIC5 - 05 Meter Time synchronisation to NIC - forward crossing interval (Auto)</v>
      </c>
    </row>
    <row r="47" spans="1:16" ht="26.25" hidden="1" thickBot="1" x14ac:dyDescent="0.3">
      <c r="A47" s="52">
        <v>157</v>
      </c>
      <c r="B47" s="53" t="s">
        <v>58</v>
      </c>
      <c r="C47" s="54" t="s">
        <v>240</v>
      </c>
      <c r="D47" s="53" t="s">
        <v>66</v>
      </c>
      <c r="E47" s="54" t="s">
        <v>74</v>
      </c>
      <c r="F47" s="53" t="s">
        <v>68</v>
      </c>
      <c r="G47" s="55"/>
      <c r="H47" s="56">
        <v>45579</v>
      </c>
      <c r="I47" s="57">
        <v>0.41600694444444447</v>
      </c>
      <c r="J47" s="53" t="s">
        <v>69</v>
      </c>
      <c r="K47" s="54" t="s">
        <v>69</v>
      </c>
      <c r="L47" s="53" t="s">
        <v>242</v>
      </c>
      <c r="M47" s="58" t="s">
        <v>64</v>
      </c>
      <c r="N47" t="str">
        <f t="shared" si="3"/>
        <v>Executed</v>
      </c>
      <c r="O47" t="str">
        <f t="shared" si="2"/>
        <v>Done</v>
      </c>
      <c r="P47" t="str">
        <f t="shared" si="0"/>
        <v>U1300 R6.4 - NIC5 - 06 Meter Time synchronisation to NIC - forward crossing interval (Force)</v>
      </c>
    </row>
    <row r="48" spans="1:16" ht="26.25" hidden="1" thickBot="1" x14ac:dyDescent="0.3">
      <c r="A48" s="52">
        <v>159</v>
      </c>
      <c r="B48" s="53" t="s">
        <v>58</v>
      </c>
      <c r="C48" s="54" t="s">
        <v>240</v>
      </c>
      <c r="D48" s="53" t="s">
        <v>66</v>
      </c>
      <c r="E48" s="54" t="s">
        <v>75</v>
      </c>
      <c r="F48" s="53" t="s">
        <v>68</v>
      </c>
      <c r="G48" s="55"/>
      <c r="H48" s="56">
        <v>45579</v>
      </c>
      <c r="I48" s="57">
        <v>0.48114583333333333</v>
      </c>
      <c r="J48" s="53" t="s">
        <v>69</v>
      </c>
      <c r="K48" s="54" t="s">
        <v>69</v>
      </c>
      <c r="L48" s="53" t="s">
        <v>242</v>
      </c>
      <c r="M48" s="58" t="s">
        <v>64</v>
      </c>
      <c r="N48" t="str">
        <f t="shared" si="3"/>
        <v>Executed</v>
      </c>
      <c r="O48" t="str">
        <f t="shared" si="2"/>
        <v>Done</v>
      </c>
      <c r="P48" t="str">
        <f t="shared" si="0"/>
        <v>U1300 R6.4 - NIC5 - 07 Meter Time synchronisation to NIC - backward crossing interval (Auto)</v>
      </c>
    </row>
    <row r="49" spans="1:16" ht="26.25" hidden="1" thickBot="1" x14ac:dyDescent="0.3">
      <c r="A49" s="52">
        <v>964</v>
      </c>
      <c r="B49" s="53" t="s">
        <v>58</v>
      </c>
      <c r="C49" s="54" t="s">
        <v>240</v>
      </c>
      <c r="D49" s="53" t="s">
        <v>66</v>
      </c>
      <c r="E49" s="54" t="s">
        <v>76</v>
      </c>
      <c r="F49" s="53" t="s">
        <v>68</v>
      </c>
      <c r="G49" s="55"/>
      <c r="H49" s="56">
        <v>45579</v>
      </c>
      <c r="I49" s="57">
        <v>0.55210648148148145</v>
      </c>
      <c r="J49" s="53" t="s">
        <v>69</v>
      </c>
      <c r="K49" s="54" t="s">
        <v>69</v>
      </c>
      <c r="L49" s="53" t="s">
        <v>242</v>
      </c>
      <c r="M49" s="58" t="s">
        <v>64</v>
      </c>
      <c r="N49" t="str">
        <f t="shared" si="3"/>
        <v>Executed</v>
      </c>
      <c r="O49" t="str">
        <f t="shared" si="2"/>
        <v>Done</v>
      </c>
      <c r="P49" t="str">
        <f t="shared" si="0"/>
        <v>U1300 R6.4 - NIC5 - 08 Meter Time synchronisation to NIC - backward crossing interval (Force)</v>
      </c>
    </row>
    <row r="50" spans="1:16" ht="26.25" hidden="1" thickBot="1" x14ac:dyDescent="0.3">
      <c r="A50" s="52">
        <v>39</v>
      </c>
      <c r="B50" s="53" t="s">
        <v>58</v>
      </c>
      <c r="C50" s="54" t="s">
        <v>239</v>
      </c>
      <c r="D50" s="53" t="s">
        <v>243</v>
      </c>
      <c r="E50" s="54" t="s">
        <v>77</v>
      </c>
      <c r="F50" s="53" t="s">
        <v>61</v>
      </c>
      <c r="G50" s="55"/>
      <c r="H50" s="56">
        <v>45573</v>
      </c>
      <c r="I50" s="57">
        <v>0.42417824074074079</v>
      </c>
      <c r="J50" s="53" t="s">
        <v>78</v>
      </c>
      <c r="K50" s="54" t="s">
        <v>78</v>
      </c>
      <c r="L50" s="53" t="s">
        <v>238</v>
      </c>
      <c r="M50" s="58" t="s">
        <v>63</v>
      </c>
      <c r="N50" t="str">
        <f t="shared" si="3"/>
        <v>Executed</v>
      </c>
      <c r="O50" t="str">
        <f t="shared" si="2"/>
        <v>Done</v>
      </c>
      <c r="P50" t="str">
        <f t="shared" si="0"/>
        <v>U3400 R6.4 - NIC3 - FWU meter firmware upgrade - (seedingpercent) percent seeded - Uninterrupted</v>
      </c>
    </row>
    <row r="51" spans="1:16" ht="26.25" hidden="1" thickBot="1" x14ac:dyDescent="0.3">
      <c r="A51" s="52">
        <v>1703</v>
      </c>
      <c r="B51" s="53" t="s">
        <v>58</v>
      </c>
      <c r="C51" s="54" t="s">
        <v>239</v>
      </c>
      <c r="D51" s="53" t="s">
        <v>243</v>
      </c>
      <c r="E51" s="54" t="s">
        <v>79</v>
      </c>
      <c r="F51" s="53" t="s">
        <v>61</v>
      </c>
      <c r="G51" s="55" t="s">
        <v>80</v>
      </c>
      <c r="H51" s="56">
        <v>45579</v>
      </c>
      <c r="I51" s="57">
        <v>0.68684027777777779</v>
      </c>
      <c r="J51" s="53" t="s">
        <v>78</v>
      </c>
      <c r="K51" s="54" t="s">
        <v>62</v>
      </c>
      <c r="L51" s="53" t="s">
        <v>238</v>
      </c>
      <c r="M51" s="58" t="s">
        <v>63</v>
      </c>
      <c r="N51" t="str">
        <f t="shared" si="3"/>
        <v>RBT</v>
      </c>
      <c r="O51" t="str">
        <f t="shared" si="2"/>
        <v>Done</v>
      </c>
      <c r="P51" t="str">
        <f t="shared" si="0"/>
        <v>U3400 R6.4 - NIC3 - FWU meter firmware upgrade - (seedingpercent) percent seeded - Interrupted</v>
      </c>
    </row>
    <row r="52" spans="1:16" ht="15.75" hidden="1" thickBot="1" x14ac:dyDescent="0.3">
      <c r="A52" s="52">
        <v>38</v>
      </c>
      <c r="B52" s="53" t="s">
        <v>58</v>
      </c>
      <c r="C52" s="54" t="s">
        <v>239</v>
      </c>
      <c r="D52" s="53" t="s">
        <v>243</v>
      </c>
      <c r="E52" s="54" t="s">
        <v>81</v>
      </c>
      <c r="F52" s="53" t="s">
        <v>61</v>
      </c>
      <c r="G52" s="55"/>
      <c r="H52" s="56">
        <v>45569</v>
      </c>
      <c r="I52" s="57">
        <v>0.38296296296296295</v>
      </c>
      <c r="J52" s="53" t="s">
        <v>69</v>
      </c>
      <c r="K52" s="54" t="s">
        <v>69</v>
      </c>
      <c r="L52" s="53" t="s">
        <v>238</v>
      </c>
      <c r="M52" s="58" t="s">
        <v>63</v>
      </c>
      <c r="N52" t="str">
        <f t="shared" si="3"/>
        <v>Executed</v>
      </c>
      <c r="O52" t="str">
        <f t="shared" si="2"/>
        <v>Done</v>
      </c>
      <c r="P52" t="str">
        <f t="shared" si="0"/>
        <v>U3400 R6.4 - NIC3 - Meter firmware audit</v>
      </c>
    </row>
    <row r="53" spans="1:16" ht="26.25" hidden="1" thickBot="1" x14ac:dyDescent="0.3">
      <c r="A53" s="52">
        <v>39</v>
      </c>
      <c r="B53" s="53" t="s">
        <v>58</v>
      </c>
      <c r="C53" s="54" t="s">
        <v>241</v>
      </c>
      <c r="D53" s="53" t="s">
        <v>243</v>
      </c>
      <c r="E53" s="54" t="s">
        <v>77</v>
      </c>
      <c r="F53" s="53" t="s">
        <v>61</v>
      </c>
      <c r="G53" s="55"/>
      <c r="H53" s="56">
        <v>45555</v>
      </c>
      <c r="I53" s="57">
        <v>0.45847222222222223</v>
      </c>
      <c r="J53" s="53" t="s">
        <v>78</v>
      </c>
      <c r="K53" s="54" t="s">
        <v>78</v>
      </c>
      <c r="L53" s="53" t="s">
        <v>242</v>
      </c>
      <c r="M53" s="58" t="s">
        <v>64</v>
      </c>
      <c r="N53" t="str">
        <f t="shared" si="3"/>
        <v>Executed</v>
      </c>
      <c r="O53" t="str">
        <f t="shared" si="2"/>
        <v>Done</v>
      </c>
      <c r="P53" t="str">
        <f t="shared" si="0"/>
        <v>U1300 R6.4 - NIC3 - FWU meter firmware upgrade - (seedingpercent) percent seeded - Uninterrupted</v>
      </c>
    </row>
    <row r="54" spans="1:16" ht="26.25" hidden="1" thickBot="1" x14ac:dyDescent="0.3">
      <c r="A54" s="52">
        <v>1703</v>
      </c>
      <c r="B54" s="53" t="s">
        <v>58</v>
      </c>
      <c r="C54" s="54" t="s">
        <v>241</v>
      </c>
      <c r="D54" s="53" t="s">
        <v>243</v>
      </c>
      <c r="E54" s="54" t="s">
        <v>79</v>
      </c>
      <c r="F54" s="53" t="s">
        <v>61</v>
      </c>
      <c r="G54" s="55"/>
      <c r="H54" s="56">
        <v>45581</v>
      </c>
      <c r="I54" s="57">
        <v>0.39749999999999996</v>
      </c>
      <c r="J54" s="53" t="s">
        <v>78</v>
      </c>
      <c r="K54" s="54" t="s">
        <v>78</v>
      </c>
      <c r="L54" s="53" t="s">
        <v>242</v>
      </c>
      <c r="M54" s="58" t="s">
        <v>64</v>
      </c>
      <c r="N54" t="str">
        <f t="shared" si="3"/>
        <v>Executed</v>
      </c>
      <c r="O54" t="str">
        <f t="shared" si="2"/>
        <v>Done</v>
      </c>
      <c r="P54" t="str">
        <f t="shared" si="0"/>
        <v>U1300 R6.4 - NIC3 - FWU meter firmware upgrade - (seedingpercent) percent seeded - Interrupted</v>
      </c>
    </row>
    <row r="55" spans="1:16" ht="15.75" hidden="1" thickBot="1" x14ac:dyDescent="0.3">
      <c r="A55" s="52">
        <v>38</v>
      </c>
      <c r="B55" s="53" t="s">
        <v>58</v>
      </c>
      <c r="C55" s="54" t="s">
        <v>241</v>
      </c>
      <c r="D55" s="53" t="s">
        <v>243</v>
      </c>
      <c r="E55" s="54" t="s">
        <v>81</v>
      </c>
      <c r="F55" s="53" t="s">
        <v>61</v>
      </c>
      <c r="G55" s="55"/>
      <c r="H55" s="56">
        <v>45555</v>
      </c>
      <c r="I55" s="57">
        <v>0.55539351851851848</v>
      </c>
      <c r="J55" s="53" t="s">
        <v>69</v>
      </c>
      <c r="K55" s="54" t="s">
        <v>69</v>
      </c>
      <c r="L55" s="53" t="s">
        <v>242</v>
      </c>
      <c r="M55" s="58" t="s">
        <v>64</v>
      </c>
      <c r="N55" t="str">
        <f t="shared" si="3"/>
        <v>Executed</v>
      </c>
      <c r="O55" t="str">
        <f t="shared" si="2"/>
        <v>Done</v>
      </c>
      <c r="P55" t="str">
        <f t="shared" si="0"/>
        <v>U1300 R6.4 - NIC3 - Meter firmware audit</v>
      </c>
    </row>
    <row r="56" spans="1:16" ht="26.25" hidden="1" thickBot="1" x14ac:dyDescent="0.3">
      <c r="A56" s="52">
        <v>39</v>
      </c>
      <c r="B56" s="53" t="s">
        <v>58</v>
      </c>
      <c r="C56" s="54" t="s">
        <v>237</v>
      </c>
      <c r="D56" s="53" t="s">
        <v>243</v>
      </c>
      <c r="E56" s="54" t="s">
        <v>77</v>
      </c>
      <c r="F56" s="53" t="s">
        <v>61</v>
      </c>
      <c r="G56" s="55"/>
      <c r="H56" s="56">
        <v>45573</v>
      </c>
      <c r="I56" s="57">
        <v>0.424837962962963</v>
      </c>
      <c r="J56" s="53" t="s">
        <v>78</v>
      </c>
      <c r="K56" s="54" t="s">
        <v>78</v>
      </c>
      <c r="L56" s="53" t="s">
        <v>238</v>
      </c>
      <c r="M56" s="58" t="s">
        <v>63</v>
      </c>
      <c r="N56" t="str">
        <f t="shared" si="3"/>
        <v>Executed</v>
      </c>
      <c r="O56" t="str">
        <f t="shared" si="2"/>
        <v>Done</v>
      </c>
      <c r="P56" t="str">
        <f t="shared" si="0"/>
        <v>U3400 R6.4 - NIC5 - FWU meter firmware upgrade - (seedingpercent) percent seeded - Uninterrupted</v>
      </c>
    </row>
    <row r="57" spans="1:16" ht="26.25" hidden="1" thickBot="1" x14ac:dyDescent="0.3">
      <c r="A57" s="52">
        <v>1703</v>
      </c>
      <c r="B57" s="53" t="s">
        <v>58</v>
      </c>
      <c r="C57" s="54" t="s">
        <v>237</v>
      </c>
      <c r="D57" s="53" t="s">
        <v>243</v>
      </c>
      <c r="E57" s="54" t="s">
        <v>79</v>
      </c>
      <c r="F57" s="53" t="s">
        <v>61</v>
      </c>
      <c r="G57" s="55" t="s">
        <v>80</v>
      </c>
      <c r="H57" s="56">
        <v>45580</v>
      </c>
      <c r="I57" s="57">
        <v>0.44834490740740746</v>
      </c>
      <c r="J57" s="53" t="s">
        <v>78</v>
      </c>
      <c r="K57" s="54" t="s">
        <v>62</v>
      </c>
      <c r="L57" s="53" t="s">
        <v>238</v>
      </c>
      <c r="M57" s="58" t="s">
        <v>63</v>
      </c>
      <c r="N57" t="str">
        <f t="shared" si="3"/>
        <v>RBT</v>
      </c>
      <c r="O57" t="str">
        <f t="shared" si="2"/>
        <v>Done</v>
      </c>
      <c r="P57" t="str">
        <f t="shared" si="0"/>
        <v>U3400 R6.4 - NIC5 - FWU meter firmware upgrade - (seedingpercent) percent seeded - Interrupted</v>
      </c>
    </row>
    <row r="58" spans="1:16" ht="15.75" hidden="1" thickBot="1" x14ac:dyDescent="0.3">
      <c r="A58" s="52">
        <v>38</v>
      </c>
      <c r="B58" s="53" t="s">
        <v>58</v>
      </c>
      <c r="C58" s="54" t="s">
        <v>237</v>
      </c>
      <c r="D58" s="53" t="s">
        <v>243</v>
      </c>
      <c r="E58" s="54" t="s">
        <v>81</v>
      </c>
      <c r="F58" s="53" t="s">
        <v>61</v>
      </c>
      <c r="G58" s="55"/>
      <c r="H58" s="56">
        <v>45569</v>
      </c>
      <c r="I58" s="57">
        <v>0.38293981481481482</v>
      </c>
      <c r="J58" s="53" t="s">
        <v>69</v>
      </c>
      <c r="K58" s="54" t="s">
        <v>69</v>
      </c>
      <c r="L58" s="53" t="s">
        <v>238</v>
      </c>
      <c r="M58" s="58" t="s">
        <v>63</v>
      </c>
      <c r="N58" t="str">
        <f t="shared" si="3"/>
        <v>Executed</v>
      </c>
      <c r="O58" t="str">
        <f t="shared" si="2"/>
        <v>Done</v>
      </c>
      <c r="P58" t="str">
        <f t="shared" si="0"/>
        <v>U3400 R6.4 - NIC5 - Meter firmware audit</v>
      </c>
    </row>
    <row r="59" spans="1:16" ht="26.25" hidden="1" thickBot="1" x14ac:dyDescent="0.3">
      <c r="A59" s="52">
        <v>39</v>
      </c>
      <c r="B59" s="53" t="s">
        <v>58</v>
      </c>
      <c r="C59" s="54" t="s">
        <v>240</v>
      </c>
      <c r="D59" s="53" t="s">
        <v>243</v>
      </c>
      <c r="E59" s="54" t="s">
        <v>77</v>
      </c>
      <c r="F59" s="53" t="s">
        <v>61</v>
      </c>
      <c r="G59" s="55"/>
      <c r="H59" s="56">
        <v>45555</v>
      </c>
      <c r="I59" s="57">
        <v>0.47291666666666665</v>
      </c>
      <c r="J59" s="53" t="s">
        <v>78</v>
      </c>
      <c r="K59" s="54" t="s">
        <v>78</v>
      </c>
      <c r="L59" s="53" t="s">
        <v>242</v>
      </c>
      <c r="M59" s="58" t="s">
        <v>64</v>
      </c>
      <c r="N59" t="str">
        <f t="shared" si="3"/>
        <v>Executed</v>
      </c>
      <c r="O59" t="str">
        <f t="shared" si="2"/>
        <v>Done</v>
      </c>
      <c r="P59" t="str">
        <f t="shared" si="0"/>
        <v>U1300 R6.4 - NIC5 - FWU meter firmware upgrade - (seedingpercent) percent seeded - Uninterrupted</v>
      </c>
    </row>
    <row r="60" spans="1:16" ht="26.25" hidden="1" thickBot="1" x14ac:dyDescent="0.3">
      <c r="A60" s="52">
        <v>1703</v>
      </c>
      <c r="B60" s="53" t="s">
        <v>58</v>
      </c>
      <c r="C60" s="54" t="s">
        <v>240</v>
      </c>
      <c r="D60" s="53" t="s">
        <v>243</v>
      </c>
      <c r="E60" s="54" t="s">
        <v>79</v>
      </c>
      <c r="F60" s="53" t="s">
        <v>61</v>
      </c>
      <c r="G60" s="55" t="s">
        <v>82</v>
      </c>
      <c r="H60" s="56">
        <v>45580</v>
      </c>
      <c r="I60" s="57">
        <v>0.49413194444444447</v>
      </c>
      <c r="J60" s="53" t="s">
        <v>78</v>
      </c>
      <c r="K60" s="54" t="s">
        <v>62</v>
      </c>
      <c r="L60" s="53" t="s">
        <v>242</v>
      </c>
      <c r="M60" s="58" t="s">
        <v>64</v>
      </c>
      <c r="N60" t="str">
        <f t="shared" si="3"/>
        <v>RBT</v>
      </c>
      <c r="O60" t="str">
        <f t="shared" si="2"/>
        <v>Done</v>
      </c>
      <c r="P60" t="str">
        <f t="shared" si="0"/>
        <v>U1300 R6.4 - NIC5 - FWU meter firmware upgrade - (seedingpercent) percent seeded - Interrupted</v>
      </c>
    </row>
    <row r="61" spans="1:16" ht="15.75" hidden="1" thickBot="1" x14ac:dyDescent="0.3">
      <c r="A61" s="52">
        <v>38</v>
      </c>
      <c r="B61" s="53" t="s">
        <v>58</v>
      </c>
      <c r="C61" s="54" t="s">
        <v>240</v>
      </c>
      <c r="D61" s="53" t="s">
        <v>243</v>
      </c>
      <c r="E61" s="54" t="s">
        <v>81</v>
      </c>
      <c r="F61" s="53" t="s">
        <v>61</v>
      </c>
      <c r="G61" s="55"/>
      <c r="H61" s="56">
        <v>45555</v>
      </c>
      <c r="I61" s="57">
        <v>0.62589120370370377</v>
      </c>
      <c r="J61" s="53" t="s">
        <v>69</v>
      </c>
      <c r="K61" s="54" t="s">
        <v>69</v>
      </c>
      <c r="L61" s="53" t="s">
        <v>242</v>
      </c>
      <c r="M61" s="58" t="s">
        <v>64</v>
      </c>
      <c r="N61" t="str">
        <f t="shared" si="3"/>
        <v>Executed</v>
      </c>
      <c r="O61" t="str">
        <f t="shared" si="2"/>
        <v>Done</v>
      </c>
      <c r="P61" t="str">
        <f t="shared" si="0"/>
        <v>U1300 R6.4 - NIC5 - Meter firmware audit</v>
      </c>
    </row>
    <row r="62" spans="1:16" ht="26.25" hidden="1" thickBot="1" x14ac:dyDescent="0.3">
      <c r="A62" s="52">
        <v>41</v>
      </c>
      <c r="B62" s="53" t="s">
        <v>58</v>
      </c>
      <c r="C62" s="54" t="s">
        <v>239</v>
      </c>
      <c r="D62" s="53" t="s">
        <v>244</v>
      </c>
      <c r="E62" s="54" t="s">
        <v>83</v>
      </c>
      <c r="F62" s="53" t="s">
        <v>61</v>
      </c>
      <c r="G62" s="55"/>
      <c r="H62" s="56">
        <v>45572</v>
      </c>
      <c r="I62" s="57">
        <v>0.65039351851851845</v>
      </c>
      <c r="J62" s="53" t="s">
        <v>84</v>
      </c>
      <c r="K62" s="54" t="s">
        <v>69</v>
      </c>
      <c r="L62" s="53" t="s">
        <v>238</v>
      </c>
      <c r="M62" s="58" t="s">
        <v>63</v>
      </c>
      <c r="N62" t="str">
        <f t="shared" si="3"/>
        <v>Executed</v>
      </c>
      <c r="O62" t="str">
        <f t="shared" si="2"/>
        <v>Done</v>
      </c>
      <c r="P62" t="str">
        <f t="shared" si="0"/>
        <v>U3400 R6.4 - NIC3 - Meter Program -  Remote 1 - Load a full meter program (New Meter Program in UIQ)</v>
      </c>
    </row>
    <row r="63" spans="1:16" ht="26.25" hidden="1" thickBot="1" x14ac:dyDescent="0.3">
      <c r="A63" s="52">
        <v>42</v>
      </c>
      <c r="B63" s="53" t="s">
        <v>58</v>
      </c>
      <c r="C63" s="54" t="s">
        <v>239</v>
      </c>
      <c r="D63" s="53" t="s">
        <v>244</v>
      </c>
      <c r="E63" s="54" t="s">
        <v>85</v>
      </c>
      <c r="F63" s="53" t="s">
        <v>61</v>
      </c>
      <c r="G63" s="55"/>
      <c r="H63" s="56">
        <v>45573</v>
      </c>
      <c r="I63" s="57">
        <v>0.74234953703703699</v>
      </c>
      <c r="J63" s="53" t="s">
        <v>69</v>
      </c>
      <c r="K63" s="54" t="s">
        <v>69</v>
      </c>
      <c r="L63" s="53" t="s">
        <v>238</v>
      </c>
      <c r="M63" s="58" t="s">
        <v>63</v>
      </c>
      <c r="N63" t="str">
        <f t="shared" si="3"/>
        <v>Executed</v>
      </c>
      <c r="O63" t="str">
        <f t="shared" si="2"/>
        <v>Done</v>
      </c>
      <c r="P63" t="str">
        <f t="shared" si="0"/>
        <v>U3400 R6.4 - NIC3 - Meter Program -  Remote 4 - Load a full meter program (Meter Program exists in UIQ)</v>
      </c>
    </row>
    <row r="64" spans="1:16" ht="15.75" thickBot="1" x14ac:dyDescent="0.3">
      <c r="A64" s="52">
        <v>61</v>
      </c>
      <c r="B64" s="53" t="s">
        <v>58</v>
      </c>
      <c r="C64" s="54" t="s">
        <v>239</v>
      </c>
      <c r="D64" s="53" t="s">
        <v>244</v>
      </c>
      <c r="E64" s="54" t="s">
        <v>86</v>
      </c>
      <c r="F64" s="53" t="s">
        <v>61</v>
      </c>
      <c r="G64" s="55"/>
      <c r="H64" s="56">
        <v>45565</v>
      </c>
      <c r="I64" s="57">
        <v>0.57336805555555559</v>
      </c>
      <c r="J64" s="53" t="s">
        <v>62</v>
      </c>
      <c r="K64" s="54" t="s">
        <v>69</v>
      </c>
      <c r="L64" s="53" t="s">
        <v>238</v>
      </c>
      <c r="M64" s="58" t="s">
        <v>63</v>
      </c>
      <c r="N64" t="str">
        <f t="shared" si="3"/>
        <v>Executed</v>
      </c>
      <c r="O64" t="str">
        <f t="shared" si="2"/>
        <v>Done</v>
      </c>
      <c r="P64" t="str">
        <f t="shared" si="0"/>
        <v>U3400 R6.4 - NIC3 - Meter Program -  export events</v>
      </c>
    </row>
    <row r="65" spans="1:16" ht="15.75" hidden="1" thickBot="1" x14ac:dyDescent="0.3">
      <c r="A65" s="52">
        <v>40</v>
      </c>
      <c r="B65" s="53" t="s">
        <v>58</v>
      </c>
      <c r="C65" s="54" t="s">
        <v>239</v>
      </c>
      <c r="D65" s="53" t="s">
        <v>244</v>
      </c>
      <c r="E65" s="54" t="s">
        <v>87</v>
      </c>
      <c r="F65" s="53" t="s">
        <v>61</v>
      </c>
      <c r="G65" s="55"/>
      <c r="H65" s="56">
        <v>45572</v>
      </c>
      <c r="I65" s="57">
        <v>0.66690972222222211</v>
      </c>
      <c r="J65" s="53" t="s">
        <v>69</v>
      </c>
      <c r="K65" s="54" t="s">
        <v>69</v>
      </c>
      <c r="L65" s="53" t="s">
        <v>238</v>
      </c>
      <c r="M65" s="58" t="s">
        <v>63</v>
      </c>
      <c r="N65" t="str">
        <f t="shared" si="3"/>
        <v>Executed</v>
      </c>
      <c r="O65" t="str">
        <f t="shared" si="2"/>
        <v>Done</v>
      </c>
      <c r="P65" t="str">
        <f t="shared" si="0"/>
        <v>U3400 R6.4 - NIC3 - Meter program audit</v>
      </c>
    </row>
    <row r="66" spans="1:16" ht="26.25" hidden="1" thickBot="1" x14ac:dyDescent="0.3">
      <c r="A66" s="52">
        <v>41</v>
      </c>
      <c r="B66" s="53" t="s">
        <v>58</v>
      </c>
      <c r="C66" s="54" t="s">
        <v>241</v>
      </c>
      <c r="D66" s="53" t="s">
        <v>244</v>
      </c>
      <c r="E66" s="54" t="s">
        <v>83</v>
      </c>
      <c r="F66" s="53" t="s">
        <v>61</v>
      </c>
      <c r="G66" s="55"/>
      <c r="H66" s="56">
        <v>45568</v>
      </c>
      <c r="I66" s="57">
        <v>0.61731481481481476</v>
      </c>
      <c r="J66" s="53" t="s">
        <v>84</v>
      </c>
      <c r="K66" s="54" t="s">
        <v>78</v>
      </c>
      <c r="L66" s="53" t="s">
        <v>242</v>
      </c>
      <c r="M66" s="58" t="s">
        <v>64</v>
      </c>
      <c r="N66" t="str">
        <f t="shared" si="3"/>
        <v>Executed</v>
      </c>
      <c r="O66" t="str">
        <f t="shared" si="2"/>
        <v>Done</v>
      </c>
      <c r="P66" t="str">
        <f t="shared" ref="P66:P129" si="4">CONCATENATE(C66," - ",E66)</f>
        <v>U1300 R6.4 - NIC3 - Meter Program -  Remote 1 - Load a full meter program (New Meter Program in UIQ)</v>
      </c>
    </row>
    <row r="67" spans="1:16" ht="26.25" hidden="1" thickBot="1" x14ac:dyDescent="0.3">
      <c r="A67" s="52">
        <v>42</v>
      </c>
      <c r="B67" s="53" t="s">
        <v>58</v>
      </c>
      <c r="C67" s="54" t="s">
        <v>241</v>
      </c>
      <c r="D67" s="53" t="s">
        <v>244</v>
      </c>
      <c r="E67" s="54" t="s">
        <v>85</v>
      </c>
      <c r="F67" s="53" t="s">
        <v>61</v>
      </c>
      <c r="G67" s="55"/>
      <c r="H67" s="56">
        <v>45568</v>
      </c>
      <c r="I67" s="57">
        <v>0.66568287037037044</v>
      </c>
      <c r="J67" s="53" t="s">
        <v>69</v>
      </c>
      <c r="K67" s="54" t="s">
        <v>78</v>
      </c>
      <c r="L67" s="53" t="s">
        <v>242</v>
      </c>
      <c r="M67" s="58" t="s">
        <v>64</v>
      </c>
      <c r="N67" t="str">
        <f t="shared" si="3"/>
        <v>Executed</v>
      </c>
      <c r="O67" t="str">
        <f t="shared" ref="O67:O130" si="5">IF(OR(K67="No Run",K67="Not Completed"),"Unfinished",IF(OR(K67="asdfs"),"RBT",IF(OR(K67="N/A"),"N/A",IF(OR(K67="Passed",K67="Failed",K67="RBT"),"Done",IF(OR(K67="Blocked"),"Blocked","-")))))</f>
        <v>Done</v>
      </c>
      <c r="P67" t="str">
        <f t="shared" si="4"/>
        <v>U1300 R6.4 - NIC3 - Meter Program -  Remote 4 - Load a full meter program (Meter Program exists in UIQ)</v>
      </c>
    </row>
    <row r="68" spans="1:16" ht="15.75" thickBot="1" x14ac:dyDescent="0.3">
      <c r="A68" s="52">
        <v>61</v>
      </c>
      <c r="B68" s="53" t="s">
        <v>58</v>
      </c>
      <c r="C68" s="54" t="s">
        <v>241</v>
      </c>
      <c r="D68" s="53" t="s">
        <v>244</v>
      </c>
      <c r="E68" s="54" t="s">
        <v>86</v>
      </c>
      <c r="F68" s="53" t="s">
        <v>61</v>
      </c>
      <c r="G68" s="55" t="s">
        <v>245</v>
      </c>
      <c r="H68" s="56">
        <v>45589</v>
      </c>
      <c r="I68" s="57">
        <v>0.61400462962962965</v>
      </c>
      <c r="J68" s="53" t="s">
        <v>62</v>
      </c>
      <c r="K68" s="54" t="s">
        <v>62</v>
      </c>
      <c r="L68" s="53" t="s">
        <v>242</v>
      </c>
      <c r="M68" s="58" t="s">
        <v>64</v>
      </c>
      <c r="N68" t="str">
        <f t="shared" ref="N68:N131" si="6">IF(OR(K68="No Run",K68="Blocked",K68="N/A"),"No Run",IF(OR(K68="RBT"),"RBT","Executed"))</f>
        <v>RBT</v>
      </c>
      <c r="O68" t="str">
        <f t="shared" si="5"/>
        <v>Done</v>
      </c>
      <c r="P68" t="str">
        <f t="shared" si="4"/>
        <v>U1300 R6.4 - NIC3 - Meter Program -  export events</v>
      </c>
    </row>
    <row r="69" spans="1:16" ht="15.75" hidden="1" thickBot="1" x14ac:dyDescent="0.3">
      <c r="A69" s="52">
        <v>40</v>
      </c>
      <c r="B69" s="53" t="s">
        <v>58</v>
      </c>
      <c r="C69" s="54" t="s">
        <v>241</v>
      </c>
      <c r="D69" s="53" t="s">
        <v>244</v>
      </c>
      <c r="E69" s="54" t="s">
        <v>87</v>
      </c>
      <c r="F69" s="53" t="s">
        <v>61</v>
      </c>
      <c r="G69" s="55"/>
      <c r="H69" s="56">
        <v>45566</v>
      </c>
      <c r="I69" s="57">
        <v>0.69307870370370372</v>
      </c>
      <c r="J69" s="53" t="s">
        <v>69</v>
      </c>
      <c r="K69" s="54" t="s">
        <v>78</v>
      </c>
      <c r="L69" s="53" t="s">
        <v>242</v>
      </c>
      <c r="M69" s="58" t="s">
        <v>64</v>
      </c>
      <c r="N69" t="str">
        <f t="shared" si="6"/>
        <v>Executed</v>
      </c>
      <c r="O69" t="str">
        <f t="shared" si="5"/>
        <v>Done</v>
      </c>
      <c r="P69" t="str">
        <f t="shared" si="4"/>
        <v>U1300 R6.4 - NIC3 - Meter program audit</v>
      </c>
    </row>
    <row r="70" spans="1:16" ht="26.25" hidden="1" thickBot="1" x14ac:dyDescent="0.3">
      <c r="A70" s="52">
        <v>41</v>
      </c>
      <c r="B70" s="53" t="s">
        <v>58</v>
      </c>
      <c r="C70" s="54" t="s">
        <v>237</v>
      </c>
      <c r="D70" s="53" t="s">
        <v>244</v>
      </c>
      <c r="E70" s="54" t="s">
        <v>83</v>
      </c>
      <c r="F70" s="53" t="s">
        <v>61</v>
      </c>
      <c r="G70" s="55"/>
      <c r="H70" s="56">
        <v>45572</v>
      </c>
      <c r="I70" s="57">
        <v>0.63010416666666669</v>
      </c>
      <c r="J70" s="53" t="s">
        <v>84</v>
      </c>
      <c r="K70" s="54" t="s">
        <v>69</v>
      </c>
      <c r="L70" s="53" t="s">
        <v>238</v>
      </c>
      <c r="M70" s="58" t="s">
        <v>63</v>
      </c>
      <c r="N70" t="str">
        <f t="shared" si="6"/>
        <v>Executed</v>
      </c>
      <c r="O70" t="str">
        <f t="shared" si="5"/>
        <v>Done</v>
      </c>
      <c r="P70" t="str">
        <f t="shared" si="4"/>
        <v>U3400 R6.4 - NIC5 - Meter Program -  Remote 1 - Load a full meter program (New Meter Program in UIQ)</v>
      </c>
    </row>
    <row r="71" spans="1:16" ht="26.25" hidden="1" thickBot="1" x14ac:dyDescent="0.3">
      <c r="A71" s="52">
        <v>42</v>
      </c>
      <c r="B71" s="53" t="s">
        <v>58</v>
      </c>
      <c r="C71" s="54" t="s">
        <v>237</v>
      </c>
      <c r="D71" s="53" t="s">
        <v>244</v>
      </c>
      <c r="E71" s="54" t="s">
        <v>85</v>
      </c>
      <c r="F71" s="53" t="s">
        <v>61</v>
      </c>
      <c r="G71" s="55"/>
      <c r="H71" s="56">
        <v>45573</v>
      </c>
      <c r="I71" s="57">
        <v>0.74237268518518518</v>
      </c>
      <c r="J71" s="53" t="s">
        <v>69</v>
      </c>
      <c r="K71" s="54" t="s">
        <v>69</v>
      </c>
      <c r="L71" s="53" t="s">
        <v>238</v>
      </c>
      <c r="M71" s="58" t="s">
        <v>63</v>
      </c>
      <c r="N71" t="str">
        <f t="shared" si="6"/>
        <v>Executed</v>
      </c>
      <c r="O71" t="str">
        <f t="shared" si="5"/>
        <v>Done</v>
      </c>
      <c r="P71" t="str">
        <f t="shared" si="4"/>
        <v>U3400 R6.4 - NIC5 - Meter Program -  Remote 4 - Load a full meter program (Meter Program exists in UIQ)</v>
      </c>
    </row>
    <row r="72" spans="1:16" ht="15.75" thickBot="1" x14ac:dyDescent="0.3">
      <c r="A72" s="52">
        <v>61</v>
      </c>
      <c r="B72" s="53" t="s">
        <v>58</v>
      </c>
      <c r="C72" s="54" t="s">
        <v>237</v>
      </c>
      <c r="D72" s="53" t="s">
        <v>244</v>
      </c>
      <c r="E72" s="54" t="s">
        <v>86</v>
      </c>
      <c r="F72" s="53" t="s">
        <v>61</v>
      </c>
      <c r="G72" s="55"/>
      <c r="H72" s="56">
        <v>45565</v>
      </c>
      <c r="I72" s="57">
        <v>0.56559027777777782</v>
      </c>
      <c r="J72" s="53" t="s">
        <v>62</v>
      </c>
      <c r="K72" s="54" t="s">
        <v>69</v>
      </c>
      <c r="L72" s="53" t="s">
        <v>238</v>
      </c>
      <c r="M72" s="58" t="s">
        <v>63</v>
      </c>
      <c r="N72" t="str">
        <f t="shared" si="6"/>
        <v>Executed</v>
      </c>
      <c r="O72" t="str">
        <f t="shared" si="5"/>
        <v>Done</v>
      </c>
      <c r="P72" t="str">
        <f t="shared" si="4"/>
        <v>U3400 R6.4 - NIC5 - Meter Program -  export events</v>
      </c>
    </row>
    <row r="73" spans="1:16" ht="15.75" hidden="1" thickBot="1" x14ac:dyDescent="0.3">
      <c r="A73" s="52">
        <v>40</v>
      </c>
      <c r="B73" s="53" t="s">
        <v>58</v>
      </c>
      <c r="C73" s="54" t="s">
        <v>237</v>
      </c>
      <c r="D73" s="53" t="s">
        <v>244</v>
      </c>
      <c r="E73" s="54" t="s">
        <v>87</v>
      </c>
      <c r="F73" s="53" t="s">
        <v>61</v>
      </c>
      <c r="G73" s="55"/>
      <c r="H73" s="56">
        <v>45572</v>
      </c>
      <c r="I73" s="57">
        <v>0.666875</v>
      </c>
      <c r="J73" s="53" t="s">
        <v>69</v>
      </c>
      <c r="K73" s="54" t="s">
        <v>69</v>
      </c>
      <c r="L73" s="53" t="s">
        <v>238</v>
      </c>
      <c r="M73" s="58" t="s">
        <v>63</v>
      </c>
      <c r="N73" t="str">
        <f t="shared" si="6"/>
        <v>Executed</v>
      </c>
      <c r="O73" t="str">
        <f t="shared" si="5"/>
        <v>Done</v>
      </c>
      <c r="P73" t="str">
        <f t="shared" si="4"/>
        <v>U3400 R6.4 - NIC5 - Meter program audit</v>
      </c>
    </row>
    <row r="74" spans="1:16" ht="26.25" hidden="1" thickBot="1" x14ac:dyDescent="0.3">
      <c r="A74" s="52">
        <v>41</v>
      </c>
      <c r="B74" s="53" t="s">
        <v>58</v>
      </c>
      <c r="C74" s="54" t="s">
        <v>240</v>
      </c>
      <c r="D74" s="53" t="s">
        <v>244</v>
      </c>
      <c r="E74" s="54" t="s">
        <v>83</v>
      </c>
      <c r="F74" s="53" t="s">
        <v>61</v>
      </c>
      <c r="G74" s="55"/>
      <c r="H74" s="56">
        <v>45568</v>
      </c>
      <c r="I74" s="57">
        <v>0.61173611111111115</v>
      </c>
      <c r="J74" s="53" t="s">
        <v>84</v>
      </c>
      <c r="K74" s="54" t="s">
        <v>78</v>
      </c>
      <c r="L74" s="53" t="s">
        <v>242</v>
      </c>
      <c r="M74" s="58" t="s">
        <v>64</v>
      </c>
      <c r="N74" t="str">
        <f t="shared" si="6"/>
        <v>Executed</v>
      </c>
      <c r="O74" t="str">
        <f t="shared" si="5"/>
        <v>Done</v>
      </c>
      <c r="P74" t="str">
        <f t="shared" si="4"/>
        <v>U1300 R6.4 - NIC5 - Meter Program -  Remote 1 - Load a full meter program (New Meter Program in UIQ)</v>
      </c>
    </row>
    <row r="75" spans="1:16" ht="26.25" hidden="1" thickBot="1" x14ac:dyDescent="0.3">
      <c r="A75" s="52">
        <v>42</v>
      </c>
      <c r="B75" s="53" t="s">
        <v>58</v>
      </c>
      <c r="C75" s="54" t="s">
        <v>240</v>
      </c>
      <c r="D75" s="53" t="s">
        <v>244</v>
      </c>
      <c r="E75" s="54" t="s">
        <v>85</v>
      </c>
      <c r="F75" s="53" t="s">
        <v>61</v>
      </c>
      <c r="G75" s="55"/>
      <c r="H75" s="56">
        <v>45568</v>
      </c>
      <c r="I75" s="57">
        <v>0.68877314814814816</v>
      </c>
      <c r="J75" s="53" t="s">
        <v>69</v>
      </c>
      <c r="K75" s="54" t="s">
        <v>78</v>
      </c>
      <c r="L75" s="53" t="s">
        <v>242</v>
      </c>
      <c r="M75" s="58" t="s">
        <v>64</v>
      </c>
      <c r="N75" t="str">
        <f t="shared" si="6"/>
        <v>Executed</v>
      </c>
      <c r="O75" t="str">
        <f t="shared" si="5"/>
        <v>Done</v>
      </c>
      <c r="P75" t="str">
        <f t="shared" si="4"/>
        <v>U1300 R6.4 - NIC5 - Meter Program -  Remote 4 - Load a full meter program (Meter Program exists in UIQ)</v>
      </c>
    </row>
    <row r="76" spans="1:16" ht="15.75" thickBot="1" x14ac:dyDescent="0.3">
      <c r="A76" s="52">
        <v>61</v>
      </c>
      <c r="B76" s="53" t="s">
        <v>58</v>
      </c>
      <c r="C76" s="54" t="s">
        <v>240</v>
      </c>
      <c r="D76" s="53" t="s">
        <v>244</v>
      </c>
      <c r="E76" s="54" t="s">
        <v>86</v>
      </c>
      <c r="F76" s="53" t="s">
        <v>61</v>
      </c>
      <c r="G76" s="55" t="s">
        <v>245</v>
      </c>
      <c r="H76" s="56">
        <v>45589</v>
      </c>
      <c r="I76" s="57">
        <v>0.61499999999999999</v>
      </c>
      <c r="J76" s="53" t="s">
        <v>62</v>
      </c>
      <c r="K76" s="54" t="s">
        <v>62</v>
      </c>
      <c r="L76" s="53" t="s">
        <v>242</v>
      </c>
      <c r="M76" s="58" t="s">
        <v>64</v>
      </c>
      <c r="N76" t="str">
        <f t="shared" si="6"/>
        <v>RBT</v>
      </c>
      <c r="O76" t="str">
        <f t="shared" si="5"/>
        <v>Done</v>
      </c>
      <c r="P76" t="str">
        <f t="shared" si="4"/>
        <v>U1300 R6.4 - NIC5 - Meter Program -  export events</v>
      </c>
    </row>
    <row r="77" spans="1:16" ht="15.75" hidden="1" thickBot="1" x14ac:dyDescent="0.3">
      <c r="A77" s="52">
        <v>40</v>
      </c>
      <c r="B77" s="53" t="s">
        <v>58</v>
      </c>
      <c r="C77" s="54" t="s">
        <v>240</v>
      </c>
      <c r="D77" s="53" t="s">
        <v>244</v>
      </c>
      <c r="E77" s="54" t="s">
        <v>87</v>
      </c>
      <c r="F77" s="53" t="s">
        <v>61</v>
      </c>
      <c r="G77" s="55"/>
      <c r="H77" s="56">
        <v>45566</v>
      </c>
      <c r="I77" s="57">
        <v>0.69702546296296297</v>
      </c>
      <c r="J77" s="53" t="s">
        <v>69</v>
      </c>
      <c r="K77" s="54" t="s">
        <v>78</v>
      </c>
      <c r="L77" s="53" t="s">
        <v>242</v>
      </c>
      <c r="M77" s="58" t="s">
        <v>64</v>
      </c>
      <c r="N77" t="str">
        <f t="shared" si="6"/>
        <v>Executed</v>
      </c>
      <c r="O77" t="str">
        <f t="shared" si="5"/>
        <v>Done</v>
      </c>
      <c r="P77" t="str">
        <f t="shared" si="4"/>
        <v>U1300 R6.4 - NIC5 - Meter program audit</v>
      </c>
    </row>
    <row r="78" spans="1:16" ht="15.75" hidden="1" thickBot="1" x14ac:dyDescent="0.3">
      <c r="A78" s="52">
        <v>141</v>
      </c>
      <c r="B78" s="53" t="s">
        <v>58</v>
      </c>
      <c r="C78" s="54" t="s">
        <v>237</v>
      </c>
      <c r="D78" s="53" t="s">
        <v>244</v>
      </c>
      <c r="E78" s="54" t="s">
        <v>88</v>
      </c>
      <c r="F78" s="53" t="s">
        <v>61</v>
      </c>
      <c r="G78" s="55"/>
      <c r="H78" s="56">
        <v>45565</v>
      </c>
      <c r="I78" s="57">
        <v>0.43917824074074074</v>
      </c>
      <c r="J78" s="53" t="s">
        <v>69</v>
      </c>
      <c r="K78" s="54" t="s">
        <v>69</v>
      </c>
      <c r="L78" s="53" t="s">
        <v>238</v>
      </c>
      <c r="M78" s="58" t="s">
        <v>63</v>
      </c>
      <c r="N78" t="str">
        <f t="shared" si="6"/>
        <v>Executed</v>
      </c>
      <c r="O78" t="str">
        <f t="shared" si="5"/>
        <v>Done</v>
      </c>
      <c r="P78" t="str">
        <f t="shared" si="4"/>
        <v>U3400 R6.4 - NIC5 - Meter Program -  NIC program seal</v>
      </c>
    </row>
    <row r="79" spans="1:16" ht="15.75" hidden="1" thickBot="1" x14ac:dyDescent="0.3">
      <c r="A79" s="52">
        <v>141</v>
      </c>
      <c r="B79" s="53" t="s">
        <v>58</v>
      </c>
      <c r="C79" s="54" t="s">
        <v>241</v>
      </c>
      <c r="D79" s="53" t="s">
        <v>244</v>
      </c>
      <c r="E79" s="54" t="s">
        <v>88</v>
      </c>
      <c r="F79" s="53" t="s">
        <v>61</v>
      </c>
      <c r="G79" s="55"/>
      <c r="H79" s="56">
        <v>45574</v>
      </c>
      <c r="I79" s="57">
        <v>0.66349537037037043</v>
      </c>
      <c r="J79" s="53" t="s">
        <v>69</v>
      </c>
      <c r="K79" s="54" t="s">
        <v>69</v>
      </c>
      <c r="L79" s="53" t="s">
        <v>242</v>
      </c>
      <c r="M79" s="58" t="s">
        <v>64</v>
      </c>
      <c r="N79" t="str">
        <f t="shared" si="6"/>
        <v>Executed</v>
      </c>
      <c r="O79" t="str">
        <f t="shared" si="5"/>
        <v>Done</v>
      </c>
      <c r="P79" t="str">
        <f t="shared" si="4"/>
        <v>U1300 R6.4 - NIC3 - Meter Program -  NIC program seal</v>
      </c>
    </row>
    <row r="80" spans="1:16" ht="15.75" hidden="1" thickBot="1" x14ac:dyDescent="0.3">
      <c r="A80" s="52">
        <v>141</v>
      </c>
      <c r="B80" s="53" t="s">
        <v>58</v>
      </c>
      <c r="C80" s="54" t="s">
        <v>240</v>
      </c>
      <c r="D80" s="53" t="s">
        <v>244</v>
      </c>
      <c r="E80" s="54" t="s">
        <v>88</v>
      </c>
      <c r="F80" s="53" t="s">
        <v>61</v>
      </c>
      <c r="G80" s="55"/>
      <c r="H80" s="56">
        <v>45574</v>
      </c>
      <c r="I80" s="57">
        <v>0.66684027777777777</v>
      </c>
      <c r="J80" s="53" t="s">
        <v>69</v>
      </c>
      <c r="K80" s="54" t="s">
        <v>69</v>
      </c>
      <c r="L80" s="53" t="s">
        <v>242</v>
      </c>
      <c r="M80" s="58" t="s">
        <v>64</v>
      </c>
      <c r="N80" t="str">
        <f t="shared" si="6"/>
        <v>Executed</v>
      </c>
      <c r="O80" t="str">
        <f t="shared" si="5"/>
        <v>Done</v>
      </c>
      <c r="P80" t="str">
        <f t="shared" si="4"/>
        <v>U1300 R6.4 - NIC5 - Meter Program -  NIC program seal</v>
      </c>
    </row>
    <row r="81" spans="1:16" ht="15.75" hidden="1" thickBot="1" x14ac:dyDescent="0.3">
      <c r="A81" s="52">
        <v>141</v>
      </c>
      <c r="B81" s="53" t="s">
        <v>58</v>
      </c>
      <c r="C81" s="54" t="s">
        <v>239</v>
      </c>
      <c r="D81" s="53" t="s">
        <v>244</v>
      </c>
      <c r="E81" s="54" t="s">
        <v>88</v>
      </c>
      <c r="F81" s="53" t="s">
        <v>61</v>
      </c>
      <c r="G81" s="55"/>
      <c r="H81" s="56">
        <v>45565</v>
      </c>
      <c r="I81" s="57">
        <v>0.43913194444444442</v>
      </c>
      <c r="J81" s="53" t="s">
        <v>69</v>
      </c>
      <c r="K81" s="54" t="s">
        <v>69</v>
      </c>
      <c r="L81" s="53" t="s">
        <v>238</v>
      </c>
      <c r="M81" s="58" t="s">
        <v>63</v>
      </c>
      <c r="N81" t="str">
        <f t="shared" si="6"/>
        <v>Executed</v>
      </c>
      <c r="O81" t="str">
        <f t="shared" si="5"/>
        <v>Done</v>
      </c>
      <c r="P81" t="str">
        <f t="shared" si="4"/>
        <v>U3400 R6.4 - NIC3 - Meter Program -  NIC program seal</v>
      </c>
    </row>
    <row r="82" spans="1:16" ht="15.75" thickBot="1" x14ac:dyDescent="0.3">
      <c r="A82" s="52">
        <v>140</v>
      </c>
      <c r="B82" s="53" t="s">
        <v>58</v>
      </c>
      <c r="C82" s="54" t="s">
        <v>237</v>
      </c>
      <c r="D82" s="53" t="s">
        <v>244</v>
      </c>
      <c r="E82" s="54" t="s">
        <v>89</v>
      </c>
      <c r="F82" s="53" t="s">
        <v>61</v>
      </c>
      <c r="G82" s="55"/>
      <c r="H82" s="56">
        <v>45559</v>
      </c>
      <c r="I82" s="57">
        <v>0.72015046296296292</v>
      </c>
      <c r="J82" s="53" t="s">
        <v>62</v>
      </c>
      <c r="K82" s="54" t="s">
        <v>62</v>
      </c>
      <c r="L82" s="53" t="s">
        <v>238</v>
      </c>
      <c r="M82" s="58" t="s">
        <v>63</v>
      </c>
      <c r="N82" t="str">
        <f t="shared" si="6"/>
        <v>RBT</v>
      </c>
      <c r="O82" t="str">
        <f t="shared" si="5"/>
        <v>Done</v>
      </c>
      <c r="P82" t="str">
        <f t="shared" si="4"/>
        <v>U3400 R6.4 - NIC5 - Meter Program -  Partial programming (Remote)</v>
      </c>
    </row>
    <row r="83" spans="1:16" ht="15.75" thickBot="1" x14ac:dyDescent="0.3">
      <c r="A83" s="52">
        <v>140</v>
      </c>
      <c r="B83" s="53" t="s">
        <v>58</v>
      </c>
      <c r="C83" s="54" t="s">
        <v>239</v>
      </c>
      <c r="D83" s="53" t="s">
        <v>244</v>
      </c>
      <c r="E83" s="54" t="s">
        <v>89</v>
      </c>
      <c r="F83" s="53" t="s">
        <v>61</v>
      </c>
      <c r="G83" s="55"/>
      <c r="H83" s="56">
        <v>45559</v>
      </c>
      <c r="I83" s="57">
        <v>0.71956018518518527</v>
      </c>
      <c r="J83" s="53" t="s">
        <v>62</v>
      </c>
      <c r="K83" s="54" t="s">
        <v>62</v>
      </c>
      <c r="L83" s="53" t="s">
        <v>238</v>
      </c>
      <c r="M83" s="58" t="s">
        <v>63</v>
      </c>
      <c r="N83" t="str">
        <f t="shared" si="6"/>
        <v>RBT</v>
      </c>
      <c r="O83" t="str">
        <f t="shared" si="5"/>
        <v>Done</v>
      </c>
      <c r="P83" t="str">
        <f t="shared" si="4"/>
        <v>U3400 R6.4 - NIC3 - Meter Program -  Partial programming (Remote)</v>
      </c>
    </row>
    <row r="84" spans="1:16" ht="15.75" thickBot="1" x14ac:dyDescent="0.3">
      <c r="A84" s="52">
        <v>140</v>
      </c>
      <c r="B84" s="53" t="s">
        <v>58</v>
      </c>
      <c r="C84" s="54" t="s">
        <v>240</v>
      </c>
      <c r="D84" s="53" t="s">
        <v>244</v>
      </c>
      <c r="E84" s="54" t="s">
        <v>89</v>
      </c>
      <c r="F84" s="53" t="s">
        <v>61</v>
      </c>
      <c r="G84" s="55"/>
      <c r="H84" s="56">
        <v>45559</v>
      </c>
      <c r="I84" s="57">
        <v>0.71862268518518524</v>
      </c>
      <c r="J84" s="53" t="s">
        <v>62</v>
      </c>
      <c r="K84" s="54" t="s">
        <v>62</v>
      </c>
      <c r="L84" s="53" t="s">
        <v>238</v>
      </c>
      <c r="M84" s="58" t="s">
        <v>64</v>
      </c>
      <c r="N84" t="str">
        <f t="shared" si="6"/>
        <v>RBT</v>
      </c>
      <c r="O84" t="str">
        <f t="shared" si="5"/>
        <v>Done</v>
      </c>
      <c r="P84" t="str">
        <f t="shared" si="4"/>
        <v>U1300 R6.4 - NIC5 - Meter Program -  Partial programming (Remote)</v>
      </c>
    </row>
    <row r="85" spans="1:16" ht="15.75" thickBot="1" x14ac:dyDescent="0.3">
      <c r="A85" s="52">
        <v>140</v>
      </c>
      <c r="B85" s="53" t="s">
        <v>58</v>
      </c>
      <c r="C85" s="54" t="s">
        <v>241</v>
      </c>
      <c r="D85" s="53" t="s">
        <v>244</v>
      </c>
      <c r="E85" s="54" t="s">
        <v>89</v>
      </c>
      <c r="F85" s="53" t="s">
        <v>61</v>
      </c>
      <c r="G85" s="55"/>
      <c r="H85" s="56">
        <v>45559</v>
      </c>
      <c r="I85" s="57">
        <v>0.71827546296296296</v>
      </c>
      <c r="J85" s="53" t="s">
        <v>62</v>
      </c>
      <c r="K85" s="54" t="s">
        <v>62</v>
      </c>
      <c r="L85" s="53" t="s">
        <v>238</v>
      </c>
      <c r="M85" s="58" t="s">
        <v>64</v>
      </c>
      <c r="N85" t="str">
        <f t="shared" si="6"/>
        <v>RBT</v>
      </c>
      <c r="O85" t="str">
        <f t="shared" si="5"/>
        <v>Done</v>
      </c>
      <c r="P85" t="str">
        <f t="shared" si="4"/>
        <v>U1300 R6.4 - NIC3 - Meter Program -  Partial programming (Remote)</v>
      </c>
    </row>
    <row r="86" spans="1:16" ht="29.25" hidden="1" thickBot="1" x14ac:dyDescent="0.3">
      <c r="A86" s="52">
        <v>1770</v>
      </c>
      <c r="B86" s="53" t="s">
        <v>58</v>
      </c>
      <c r="C86" s="54" t="s">
        <v>241</v>
      </c>
      <c r="D86" s="53" t="s">
        <v>246</v>
      </c>
      <c r="E86" s="54" t="s">
        <v>90</v>
      </c>
      <c r="F86" s="53" t="s">
        <v>91</v>
      </c>
      <c r="G86" s="55"/>
      <c r="H86" s="56">
        <v>45575</v>
      </c>
      <c r="I86" s="57">
        <v>0.66692129629629626</v>
      </c>
      <c r="J86" s="53" t="s">
        <v>84</v>
      </c>
      <c r="K86" s="54" t="s">
        <v>69</v>
      </c>
      <c r="L86" s="53" t="s">
        <v>242</v>
      </c>
      <c r="M86" s="58" t="s">
        <v>64</v>
      </c>
      <c r="N86" t="str">
        <f t="shared" si="6"/>
        <v>Executed</v>
      </c>
      <c r="O86" t="str">
        <f t="shared" si="5"/>
        <v>Done</v>
      </c>
      <c r="P86" t="str">
        <f t="shared" si="4"/>
        <v>U1300 R6.4 - NIC3 - L&amp;G_LP_Enable</v>
      </c>
    </row>
    <row r="87" spans="1:16" ht="29.25" hidden="1" thickBot="1" x14ac:dyDescent="0.3">
      <c r="A87" s="52">
        <v>1770</v>
      </c>
      <c r="B87" s="53" t="s">
        <v>58</v>
      </c>
      <c r="C87" s="54" t="s">
        <v>240</v>
      </c>
      <c r="D87" s="53" t="s">
        <v>246</v>
      </c>
      <c r="E87" s="54" t="s">
        <v>90</v>
      </c>
      <c r="F87" s="53" t="s">
        <v>91</v>
      </c>
      <c r="G87" s="55"/>
      <c r="H87" s="56">
        <v>45575</v>
      </c>
      <c r="I87" s="57">
        <v>0.66707175925925932</v>
      </c>
      <c r="J87" s="53" t="s">
        <v>84</v>
      </c>
      <c r="K87" s="54" t="s">
        <v>69</v>
      </c>
      <c r="L87" s="53" t="s">
        <v>242</v>
      </c>
      <c r="M87" s="58" t="s">
        <v>64</v>
      </c>
      <c r="N87" t="str">
        <f t="shared" si="6"/>
        <v>Executed</v>
      </c>
      <c r="O87" t="str">
        <f t="shared" si="5"/>
        <v>Done</v>
      </c>
      <c r="P87" t="str">
        <f t="shared" si="4"/>
        <v>U1300 R6.4 - NIC5 - L&amp;G_LP_Enable</v>
      </c>
    </row>
    <row r="88" spans="1:16" ht="29.25" hidden="1" thickBot="1" x14ac:dyDescent="0.3">
      <c r="A88" s="52">
        <v>1770</v>
      </c>
      <c r="B88" s="53" t="s">
        <v>58</v>
      </c>
      <c r="C88" s="54" t="s">
        <v>239</v>
      </c>
      <c r="D88" s="53" t="s">
        <v>246</v>
      </c>
      <c r="E88" s="54" t="s">
        <v>90</v>
      </c>
      <c r="F88" s="53" t="s">
        <v>91</v>
      </c>
      <c r="G88" s="55"/>
      <c r="H88" s="56">
        <v>45579</v>
      </c>
      <c r="I88" s="57">
        <v>0.67858796296296298</v>
      </c>
      <c r="J88" s="53" t="s">
        <v>84</v>
      </c>
      <c r="K88" s="54" t="s">
        <v>69</v>
      </c>
      <c r="L88" s="53" t="s">
        <v>238</v>
      </c>
      <c r="M88" s="58" t="s">
        <v>63</v>
      </c>
      <c r="N88" t="str">
        <f t="shared" si="6"/>
        <v>Executed</v>
      </c>
      <c r="O88" t="str">
        <f t="shared" si="5"/>
        <v>Done</v>
      </c>
      <c r="P88" t="str">
        <f t="shared" si="4"/>
        <v>U3400 R6.4 - NIC3 - L&amp;G_LP_Enable</v>
      </c>
    </row>
    <row r="89" spans="1:16" ht="29.25" hidden="1" thickBot="1" x14ac:dyDescent="0.3">
      <c r="A89" s="52">
        <v>1770</v>
      </c>
      <c r="B89" s="53" t="s">
        <v>58</v>
      </c>
      <c r="C89" s="54" t="s">
        <v>237</v>
      </c>
      <c r="D89" s="53" t="s">
        <v>246</v>
      </c>
      <c r="E89" s="54" t="s">
        <v>90</v>
      </c>
      <c r="F89" s="53" t="s">
        <v>91</v>
      </c>
      <c r="G89" s="55"/>
      <c r="H89" s="56">
        <v>45561</v>
      </c>
      <c r="I89" s="57">
        <v>0.59513888888888888</v>
      </c>
      <c r="J89" s="53" t="s">
        <v>84</v>
      </c>
      <c r="K89" s="54" t="s">
        <v>69</v>
      </c>
      <c r="L89" s="53" t="s">
        <v>238</v>
      </c>
      <c r="M89" s="58" t="s">
        <v>63</v>
      </c>
      <c r="N89" t="str">
        <f t="shared" si="6"/>
        <v>Executed</v>
      </c>
      <c r="O89" t="str">
        <f t="shared" si="5"/>
        <v>Done</v>
      </c>
      <c r="P89" t="str">
        <f t="shared" si="4"/>
        <v>U3400 R6.4 - NIC5 - L&amp;G_LP_Enable</v>
      </c>
    </row>
    <row r="90" spans="1:16" ht="15.75" thickBot="1" x14ac:dyDescent="0.3">
      <c r="A90" s="52">
        <v>111</v>
      </c>
      <c r="B90" s="53" t="s">
        <v>58</v>
      </c>
      <c r="C90" s="54" t="s">
        <v>239</v>
      </c>
      <c r="D90" s="53" t="s">
        <v>92</v>
      </c>
      <c r="E90" s="54" t="s">
        <v>93</v>
      </c>
      <c r="F90" s="53" t="s">
        <v>61</v>
      </c>
      <c r="G90" s="55" t="s">
        <v>94</v>
      </c>
      <c r="H90" s="56">
        <v>45589</v>
      </c>
      <c r="I90" s="57">
        <v>0.56944444444444442</v>
      </c>
      <c r="J90" s="53" t="s">
        <v>62</v>
      </c>
      <c r="K90" s="54" t="s">
        <v>62</v>
      </c>
      <c r="L90" s="53" t="s">
        <v>238</v>
      </c>
      <c r="M90" s="58" t="s">
        <v>63</v>
      </c>
      <c r="N90" t="str">
        <f t="shared" si="6"/>
        <v>RBT</v>
      </c>
      <c r="O90" t="str">
        <f t="shared" si="5"/>
        <v>Done</v>
      </c>
      <c r="P90" t="str">
        <f t="shared" si="4"/>
        <v>U3400 R6.4 - NIC3 - Meter Accuracy</v>
      </c>
    </row>
    <row r="91" spans="1:16" ht="15.75" hidden="1" thickBot="1" x14ac:dyDescent="0.3">
      <c r="A91" s="52">
        <v>1709</v>
      </c>
      <c r="B91" s="53" t="s">
        <v>58</v>
      </c>
      <c r="C91" s="54" t="s">
        <v>239</v>
      </c>
      <c r="D91" s="53" t="s">
        <v>92</v>
      </c>
      <c r="E91" s="54" t="s">
        <v>96</v>
      </c>
      <c r="F91" s="53" t="s">
        <v>61</v>
      </c>
      <c r="G91" s="55"/>
      <c r="H91" s="56">
        <v>45576</v>
      </c>
      <c r="I91" s="57">
        <v>0.61821759259259257</v>
      </c>
      <c r="J91" s="53" t="s">
        <v>69</v>
      </c>
      <c r="K91" s="54" t="s">
        <v>69</v>
      </c>
      <c r="L91" s="53" t="s">
        <v>238</v>
      </c>
      <c r="M91" s="58" t="s">
        <v>63</v>
      </c>
      <c r="N91" t="str">
        <f t="shared" si="6"/>
        <v>Executed</v>
      </c>
      <c r="O91" t="str">
        <f t="shared" si="5"/>
        <v>Done</v>
      </c>
      <c r="P91" t="str">
        <f t="shared" si="4"/>
        <v>U3400 R6.4 - NIC3 - Meter Data Integrity - Meter to UIQ (Full)</v>
      </c>
    </row>
    <row r="92" spans="1:16" ht="15.75" hidden="1" thickBot="1" x14ac:dyDescent="0.3">
      <c r="A92" s="52">
        <v>66</v>
      </c>
      <c r="B92" s="53" t="s">
        <v>58</v>
      </c>
      <c r="C92" s="54" t="s">
        <v>239</v>
      </c>
      <c r="D92" s="53" t="s">
        <v>92</v>
      </c>
      <c r="E92" s="54" t="s">
        <v>97</v>
      </c>
      <c r="F92" s="53" t="s">
        <v>61</v>
      </c>
      <c r="G92" s="55"/>
      <c r="H92" s="56">
        <v>45560</v>
      </c>
      <c r="I92" s="57">
        <v>0.58519675925925929</v>
      </c>
      <c r="J92" s="53" t="s">
        <v>69</v>
      </c>
      <c r="K92" s="54" t="s">
        <v>69</v>
      </c>
      <c r="L92" s="53" t="s">
        <v>238</v>
      </c>
      <c r="M92" s="58" t="s">
        <v>63</v>
      </c>
      <c r="N92" t="str">
        <f t="shared" si="6"/>
        <v>Executed</v>
      </c>
      <c r="O92" t="str">
        <f t="shared" si="5"/>
        <v>Done</v>
      </c>
      <c r="P92" t="str">
        <f t="shared" si="4"/>
        <v>U3400 R6.4 - NIC3 - AMM - On Demand Read - C1219 Read</v>
      </c>
    </row>
    <row r="93" spans="1:16" ht="15.75" hidden="1" thickBot="1" x14ac:dyDescent="0.3">
      <c r="A93" s="52">
        <v>63</v>
      </c>
      <c r="B93" s="53" t="s">
        <v>58</v>
      </c>
      <c r="C93" s="54" t="s">
        <v>239</v>
      </c>
      <c r="D93" s="53" t="s">
        <v>92</v>
      </c>
      <c r="E93" s="54" t="s">
        <v>98</v>
      </c>
      <c r="F93" s="53" t="s">
        <v>61</v>
      </c>
      <c r="G93" s="55"/>
      <c r="H93" s="56">
        <v>45560</v>
      </c>
      <c r="I93" s="57">
        <v>0.59387731481481476</v>
      </c>
      <c r="J93" s="53" t="s">
        <v>69</v>
      </c>
      <c r="K93" s="54" t="s">
        <v>69</v>
      </c>
      <c r="L93" s="53" t="s">
        <v>238</v>
      </c>
      <c r="M93" s="58" t="s">
        <v>63</v>
      </c>
      <c r="N93" t="str">
        <f t="shared" si="6"/>
        <v>Executed</v>
      </c>
      <c r="O93" t="str">
        <f t="shared" si="5"/>
        <v>Done</v>
      </c>
      <c r="P93" t="str">
        <f t="shared" si="4"/>
        <v>U3400 R6.4 - NIC3 - AMM - On Demand Read - Interval</v>
      </c>
    </row>
    <row r="94" spans="1:16" ht="15.75" hidden="1" thickBot="1" x14ac:dyDescent="0.3">
      <c r="A94" s="52">
        <v>62</v>
      </c>
      <c r="B94" s="53" t="s">
        <v>58</v>
      </c>
      <c r="C94" s="54" t="s">
        <v>239</v>
      </c>
      <c r="D94" s="53" t="s">
        <v>92</v>
      </c>
      <c r="E94" s="54" t="s">
        <v>99</v>
      </c>
      <c r="F94" s="53" t="s">
        <v>61</v>
      </c>
      <c r="G94" s="55"/>
      <c r="H94" s="56">
        <v>45560</v>
      </c>
      <c r="I94" s="57">
        <v>0.6618518518518518</v>
      </c>
      <c r="J94" s="53" t="s">
        <v>69</v>
      </c>
      <c r="K94" s="54" t="s">
        <v>69</v>
      </c>
      <c r="L94" s="53" t="s">
        <v>238</v>
      </c>
      <c r="M94" s="58" t="s">
        <v>63</v>
      </c>
      <c r="N94" t="str">
        <f t="shared" si="6"/>
        <v>Executed</v>
      </c>
      <c r="O94" t="str">
        <f t="shared" si="5"/>
        <v>Done</v>
      </c>
      <c r="P94" t="str">
        <f t="shared" si="4"/>
        <v>U3400 R6.4 - NIC3 - AMM - On Demand Read - New Data</v>
      </c>
    </row>
    <row r="95" spans="1:16" ht="15.75" hidden="1" thickBot="1" x14ac:dyDescent="0.3">
      <c r="A95" s="52">
        <v>64</v>
      </c>
      <c r="B95" s="53" t="s">
        <v>58</v>
      </c>
      <c r="C95" s="54" t="s">
        <v>239</v>
      </c>
      <c r="D95" s="53" t="s">
        <v>92</v>
      </c>
      <c r="E95" s="54" t="s">
        <v>100</v>
      </c>
      <c r="F95" s="53" t="s">
        <v>61</v>
      </c>
      <c r="G95" s="55"/>
      <c r="H95" s="56">
        <v>45560</v>
      </c>
      <c r="I95" s="57">
        <v>0.71431712962962957</v>
      </c>
      <c r="J95" s="53" t="s">
        <v>69</v>
      </c>
      <c r="K95" s="54" t="s">
        <v>69</v>
      </c>
      <c r="L95" s="53" t="s">
        <v>238</v>
      </c>
      <c r="M95" s="58" t="s">
        <v>63</v>
      </c>
      <c r="N95" t="str">
        <f t="shared" si="6"/>
        <v>Executed</v>
      </c>
      <c r="O95" t="str">
        <f t="shared" si="5"/>
        <v>Done</v>
      </c>
      <c r="P95" t="str">
        <f t="shared" si="4"/>
        <v>U3400 R6.4 - NIC3 - AMM - On Demand Read - Register</v>
      </c>
    </row>
    <row r="96" spans="1:16" ht="15.75" hidden="1" thickBot="1" x14ac:dyDescent="0.3">
      <c r="A96" s="52">
        <v>65</v>
      </c>
      <c r="B96" s="53" t="s">
        <v>58</v>
      </c>
      <c r="C96" s="54" t="s">
        <v>239</v>
      </c>
      <c r="D96" s="53" t="s">
        <v>92</v>
      </c>
      <c r="E96" s="54" t="s">
        <v>101</v>
      </c>
      <c r="F96" s="53" t="s">
        <v>61</v>
      </c>
      <c r="G96" s="55"/>
      <c r="H96" s="56">
        <v>45561</v>
      </c>
      <c r="I96" s="57">
        <v>0.43929398148148152</v>
      </c>
      <c r="J96" s="53" t="s">
        <v>69</v>
      </c>
      <c r="K96" s="54" t="s">
        <v>69</v>
      </c>
      <c r="L96" s="53" t="s">
        <v>238</v>
      </c>
      <c r="M96" s="58" t="s">
        <v>63</v>
      </c>
      <c r="N96" t="str">
        <f t="shared" si="6"/>
        <v>Executed</v>
      </c>
      <c r="O96" t="str">
        <f t="shared" si="5"/>
        <v>Done</v>
      </c>
      <c r="P96" t="str">
        <f t="shared" si="4"/>
        <v>U3400 R6.4 - NIC3 - AMM - On Demand Read - Stored Self Read</v>
      </c>
    </row>
    <row r="97" spans="1:16" ht="15.75" hidden="1" thickBot="1" x14ac:dyDescent="0.3">
      <c r="A97" s="52">
        <v>59</v>
      </c>
      <c r="B97" s="53" t="s">
        <v>58</v>
      </c>
      <c r="C97" s="54" t="s">
        <v>239</v>
      </c>
      <c r="D97" s="53" t="s">
        <v>92</v>
      </c>
      <c r="E97" s="54" t="s">
        <v>102</v>
      </c>
      <c r="F97" s="53" t="s">
        <v>61</v>
      </c>
      <c r="G97" s="55"/>
      <c r="H97" s="56">
        <v>45579</v>
      </c>
      <c r="I97" s="57">
        <v>0.53675925925925927</v>
      </c>
      <c r="J97" s="53" t="s">
        <v>69</v>
      </c>
      <c r="K97" s="54" t="s">
        <v>69</v>
      </c>
      <c r="L97" s="53" t="s">
        <v>238</v>
      </c>
      <c r="M97" s="58" t="s">
        <v>63</v>
      </c>
      <c r="N97" t="str">
        <f t="shared" si="6"/>
        <v>Executed</v>
      </c>
      <c r="O97" t="str">
        <f t="shared" si="5"/>
        <v>Done</v>
      </c>
      <c r="P97" t="str">
        <f t="shared" si="4"/>
        <v>U3400 R6.4 - NIC3 - Meter Data Integrity -  AMM export</v>
      </c>
    </row>
    <row r="98" spans="1:16" ht="15.75" thickBot="1" x14ac:dyDescent="0.3">
      <c r="A98" s="52">
        <v>58</v>
      </c>
      <c r="B98" s="53" t="s">
        <v>58</v>
      </c>
      <c r="C98" s="54" t="s">
        <v>239</v>
      </c>
      <c r="D98" s="53" t="s">
        <v>92</v>
      </c>
      <c r="E98" s="54" t="s">
        <v>103</v>
      </c>
      <c r="F98" s="53" t="s">
        <v>61</v>
      </c>
      <c r="G98" s="55" t="s">
        <v>104</v>
      </c>
      <c r="H98" s="56">
        <v>45580</v>
      </c>
      <c r="I98" s="57">
        <v>0.4601851851851852</v>
      </c>
      <c r="J98" s="53" t="s">
        <v>62</v>
      </c>
      <c r="K98" s="54" t="s">
        <v>62</v>
      </c>
      <c r="L98" s="53" t="s">
        <v>238</v>
      </c>
      <c r="M98" s="58" t="s">
        <v>63</v>
      </c>
      <c r="N98" t="str">
        <f t="shared" si="6"/>
        <v>RBT</v>
      </c>
      <c r="O98" t="str">
        <f t="shared" si="5"/>
        <v>Done</v>
      </c>
      <c r="P98" t="str">
        <f t="shared" si="4"/>
        <v>U3400 R6.4 - NIC3 - Meter Data Integrity -  EBQK</v>
      </c>
    </row>
    <row r="99" spans="1:16" ht="15.75" thickBot="1" x14ac:dyDescent="0.3">
      <c r="A99" s="52">
        <v>111</v>
      </c>
      <c r="B99" s="53" t="s">
        <v>58</v>
      </c>
      <c r="C99" s="54" t="s">
        <v>241</v>
      </c>
      <c r="D99" s="53" t="s">
        <v>92</v>
      </c>
      <c r="E99" s="54" t="s">
        <v>93</v>
      </c>
      <c r="F99" s="53" t="s">
        <v>61</v>
      </c>
      <c r="G99" s="55"/>
      <c r="H99" s="56">
        <v>45589</v>
      </c>
      <c r="I99" s="57">
        <v>0.60972222222222217</v>
      </c>
      <c r="J99" s="53" t="s">
        <v>62</v>
      </c>
      <c r="K99" s="54" t="s">
        <v>69</v>
      </c>
      <c r="L99" s="53" t="s">
        <v>242</v>
      </c>
      <c r="M99" s="58" t="s">
        <v>64</v>
      </c>
      <c r="N99" t="str">
        <f t="shared" si="6"/>
        <v>Executed</v>
      </c>
      <c r="O99" t="str">
        <f t="shared" si="5"/>
        <v>Done</v>
      </c>
      <c r="P99" t="str">
        <f t="shared" si="4"/>
        <v>U1300 R6.4 - NIC3 - Meter Accuracy</v>
      </c>
    </row>
    <row r="100" spans="1:16" ht="15.75" hidden="1" thickBot="1" x14ac:dyDescent="0.3">
      <c r="A100" s="52">
        <v>1709</v>
      </c>
      <c r="B100" s="53" t="s">
        <v>58</v>
      </c>
      <c r="C100" s="54" t="s">
        <v>241</v>
      </c>
      <c r="D100" s="53" t="s">
        <v>92</v>
      </c>
      <c r="E100" s="54" t="s">
        <v>96</v>
      </c>
      <c r="F100" s="53" t="s">
        <v>61</v>
      </c>
      <c r="G100" s="55"/>
      <c r="H100" s="56">
        <v>45566</v>
      </c>
      <c r="I100" s="57">
        <v>0.57756944444444447</v>
      </c>
      <c r="J100" s="53" t="s">
        <v>69</v>
      </c>
      <c r="K100" s="54" t="s">
        <v>69</v>
      </c>
      <c r="L100" s="53" t="s">
        <v>242</v>
      </c>
      <c r="M100" s="58" t="s">
        <v>64</v>
      </c>
      <c r="N100" t="str">
        <f t="shared" si="6"/>
        <v>Executed</v>
      </c>
      <c r="O100" t="str">
        <f t="shared" si="5"/>
        <v>Done</v>
      </c>
      <c r="P100" t="str">
        <f t="shared" si="4"/>
        <v>U1300 R6.4 - NIC3 - Meter Data Integrity - Meter to UIQ (Full)</v>
      </c>
    </row>
    <row r="101" spans="1:16" ht="15.75" hidden="1" thickBot="1" x14ac:dyDescent="0.3">
      <c r="A101" s="52">
        <v>66</v>
      </c>
      <c r="B101" s="53" t="s">
        <v>58</v>
      </c>
      <c r="C101" s="54" t="s">
        <v>241</v>
      </c>
      <c r="D101" s="53" t="s">
        <v>92</v>
      </c>
      <c r="E101" s="54" t="s">
        <v>97</v>
      </c>
      <c r="F101" s="53" t="s">
        <v>61</v>
      </c>
      <c r="G101" s="55"/>
      <c r="H101" s="56">
        <v>45559</v>
      </c>
      <c r="I101" s="57">
        <v>0.35947916666666663</v>
      </c>
      <c r="J101" s="53" t="s">
        <v>69</v>
      </c>
      <c r="K101" s="54" t="s">
        <v>69</v>
      </c>
      <c r="L101" s="53" t="s">
        <v>242</v>
      </c>
      <c r="M101" s="58" t="s">
        <v>64</v>
      </c>
      <c r="N101" t="str">
        <f t="shared" si="6"/>
        <v>Executed</v>
      </c>
      <c r="O101" t="str">
        <f t="shared" si="5"/>
        <v>Done</v>
      </c>
      <c r="P101" t="str">
        <f t="shared" si="4"/>
        <v>U1300 R6.4 - NIC3 - AMM - On Demand Read - C1219 Read</v>
      </c>
    </row>
    <row r="102" spans="1:16" ht="15.75" hidden="1" thickBot="1" x14ac:dyDescent="0.3">
      <c r="A102" s="52">
        <v>63</v>
      </c>
      <c r="B102" s="53" t="s">
        <v>58</v>
      </c>
      <c r="C102" s="54" t="s">
        <v>241</v>
      </c>
      <c r="D102" s="53" t="s">
        <v>92</v>
      </c>
      <c r="E102" s="54" t="s">
        <v>98</v>
      </c>
      <c r="F102" s="53" t="s">
        <v>61</v>
      </c>
      <c r="G102" s="55"/>
      <c r="H102" s="56">
        <v>45559</v>
      </c>
      <c r="I102" s="57">
        <v>0.36273148148148149</v>
      </c>
      <c r="J102" s="53" t="s">
        <v>69</v>
      </c>
      <c r="K102" s="54" t="s">
        <v>69</v>
      </c>
      <c r="L102" s="53" t="s">
        <v>242</v>
      </c>
      <c r="M102" s="58" t="s">
        <v>64</v>
      </c>
      <c r="N102" t="str">
        <f t="shared" si="6"/>
        <v>Executed</v>
      </c>
      <c r="O102" t="str">
        <f t="shared" si="5"/>
        <v>Done</v>
      </c>
      <c r="P102" t="str">
        <f t="shared" si="4"/>
        <v>U1300 R6.4 - NIC3 - AMM - On Demand Read - Interval</v>
      </c>
    </row>
    <row r="103" spans="1:16" ht="15.75" hidden="1" thickBot="1" x14ac:dyDescent="0.3">
      <c r="A103" s="52">
        <v>62</v>
      </c>
      <c r="B103" s="53" t="s">
        <v>58</v>
      </c>
      <c r="C103" s="54" t="s">
        <v>241</v>
      </c>
      <c r="D103" s="53" t="s">
        <v>92</v>
      </c>
      <c r="E103" s="54" t="s">
        <v>99</v>
      </c>
      <c r="F103" s="53" t="s">
        <v>61</v>
      </c>
      <c r="G103" s="55"/>
      <c r="H103" s="56">
        <v>45559</v>
      </c>
      <c r="I103" s="57">
        <v>0.38510416666666664</v>
      </c>
      <c r="J103" s="53" t="s">
        <v>69</v>
      </c>
      <c r="K103" s="54" t="s">
        <v>69</v>
      </c>
      <c r="L103" s="53" t="s">
        <v>242</v>
      </c>
      <c r="M103" s="58" t="s">
        <v>64</v>
      </c>
      <c r="N103" t="str">
        <f t="shared" si="6"/>
        <v>Executed</v>
      </c>
      <c r="O103" t="str">
        <f t="shared" si="5"/>
        <v>Done</v>
      </c>
      <c r="P103" t="str">
        <f t="shared" si="4"/>
        <v>U1300 R6.4 - NIC3 - AMM - On Demand Read - New Data</v>
      </c>
    </row>
    <row r="104" spans="1:16" ht="15.75" hidden="1" thickBot="1" x14ac:dyDescent="0.3">
      <c r="A104" s="52">
        <v>64</v>
      </c>
      <c r="B104" s="53" t="s">
        <v>58</v>
      </c>
      <c r="C104" s="54" t="s">
        <v>241</v>
      </c>
      <c r="D104" s="53" t="s">
        <v>92</v>
      </c>
      <c r="E104" s="54" t="s">
        <v>100</v>
      </c>
      <c r="F104" s="53" t="s">
        <v>61</v>
      </c>
      <c r="G104" s="55"/>
      <c r="H104" s="56">
        <v>45559</v>
      </c>
      <c r="I104" s="57">
        <v>0.39012731481481483</v>
      </c>
      <c r="J104" s="53" t="s">
        <v>69</v>
      </c>
      <c r="K104" s="54" t="s">
        <v>69</v>
      </c>
      <c r="L104" s="53" t="s">
        <v>242</v>
      </c>
      <c r="M104" s="58" t="s">
        <v>64</v>
      </c>
      <c r="N104" t="str">
        <f t="shared" si="6"/>
        <v>Executed</v>
      </c>
      <c r="O104" t="str">
        <f t="shared" si="5"/>
        <v>Done</v>
      </c>
      <c r="P104" t="str">
        <f t="shared" si="4"/>
        <v>U1300 R6.4 - NIC3 - AMM - On Demand Read - Register</v>
      </c>
    </row>
    <row r="105" spans="1:16" ht="15.75" hidden="1" thickBot="1" x14ac:dyDescent="0.3">
      <c r="A105" s="52">
        <v>65</v>
      </c>
      <c r="B105" s="53" t="s">
        <v>58</v>
      </c>
      <c r="C105" s="54" t="s">
        <v>241</v>
      </c>
      <c r="D105" s="53" t="s">
        <v>92</v>
      </c>
      <c r="E105" s="54" t="s">
        <v>101</v>
      </c>
      <c r="F105" s="53" t="s">
        <v>61</v>
      </c>
      <c r="G105" s="55"/>
      <c r="H105" s="56">
        <v>45559</v>
      </c>
      <c r="I105" s="57">
        <v>0.42791666666666667</v>
      </c>
      <c r="J105" s="53" t="s">
        <v>69</v>
      </c>
      <c r="K105" s="54" t="s">
        <v>69</v>
      </c>
      <c r="L105" s="53" t="s">
        <v>242</v>
      </c>
      <c r="M105" s="58" t="s">
        <v>64</v>
      </c>
      <c r="N105" t="str">
        <f t="shared" si="6"/>
        <v>Executed</v>
      </c>
      <c r="O105" t="str">
        <f t="shared" si="5"/>
        <v>Done</v>
      </c>
      <c r="P105" t="str">
        <f t="shared" si="4"/>
        <v>U1300 R6.4 - NIC3 - AMM - On Demand Read - Stored Self Read</v>
      </c>
    </row>
    <row r="106" spans="1:16" ht="15.75" hidden="1" thickBot="1" x14ac:dyDescent="0.3">
      <c r="A106" s="52">
        <v>59</v>
      </c>
      <c r="B106" s="53" t="s">
        <v>58</v>
      </c>
      <c r="C106" s="54" t="s">
        <v>241</v>
      </c>
      <c r="D106" s="53" t="s">
        <v>92</v>
      </c>
      <c r="E106" s="54" t="s">
        <v>102</v>
      </c>
      <c r="F106" s="53" t="s">
        <v>61</v>
      </c>
      <c r="G106" s="55"/>
      <c r="H106" s="56">
        <v>45572</v>
      </c>
      <c r="I106" s="57">
        <v>0.44396990740740744</v>
      </c>
      <c r="J106" s="53" t="s">
        <v>69</v>
      </c>
      <c r="K106" s="54" t="s">
        <v>69</v>
      </c>
      <c r="L106" s="53" t="s">
        <v>242</v>
      </c>
      <c r="M106" s="58" t="s">
        <v>64</v>
      </c>
      <c r="N106" t="str">
        <f t="shared" si="6"/>
        <v>Executed</v>
      </c>
      <c r="O106" t="str">
        <f t="shared" si="5"/>
        <v>Done</v>
      </c>
      <c r="P106" t="str">
        <f t="shared" si="4"/>
        <v>U1300 R6.4 - NIC3 - Meter Data Integrity -  AMM export</v>
      </c>
    </row>
    <row r="107" spans="1:16" ht="15.75" thickBot="1" x14ac:dyDescent="0.3">
      <c r="A107" s="52">
        <v>58</v>
      </c>
      <c r="B107" s="53" t="s">
        <v>58</v>
      </c>
      <c r="C107" s="54" t="s">
        <v>241</v>
      </c>
      <c r="D107" s="53" t="s">
        <v>92</v>
      </c>
      <c r="E107" s="54" t="s">
        <v>103</v>
      </c>
      <c r="F107" s="53" t="s">
        <v>61</v>
      </c>
      <c r="G107" s="55" t="s">
        <v>105</v>
      </c>
      <c r="H107" s="56">
        <v>45580</v>
      </c>
      <c r="I107" s="57">
        <v>0.49680555555555556</v>
      </c>
      <c r="J107" s="53" t="s">
        <v>62</v>
      </c>
      <c r="K107" s="54" t="s">
        <v>62</v>
      </c>
      <c r="L107" s="53" t="s">
        <v>242</v>
      </c>
      <c r="M107" s="58" t="s">
        <v>64</v>
      </c>
      <c r="N107" t="str">
        <f t="shared" si="6"/>
        <v>RBT</v>
      </c>
      <c r="O107" t="str">
        <f t="shared" si="5"/>
        <v>Done</v>
      </c>
      <c r="P107" t="str">
        <f t="shared" si="4"/>
        <v>U1300 R6.4 - NIC3 - Meter Data Integrity -  EBQK</v>
      </c>
    </row>
    <row r="108" spans="1:16" ht="15.75" thickBot="1" x14ac:dyDescent="0.3">
      <c r="A108" s="52">
        <v>111</v>
      </c>
      <c r="B108" s="53" t="s">
        <v>58</v>
      </c>
      <c r="C108" s="54" t="s">
        <v>237</v>
      </c>
      <c r="D108" s="53" t="s">
        <v>92</v>
      </c>
      <c r="E108" s="54" t="s">
        <v>93</v>
      </c>
      <c r="F108" s="53" t="s">
        <v>61</v>
      </c>
      <c r="G108" s="55" t="s">
        <v>94</v>
      </c>
      <c r="H108" s="56">
        <v>45589</v>
      </c>
      <c r="I108" s="57">
        <v>0.56652777777777774</v>
      </c>
      <c r="J108" s="53" t="s">
        <v>62</v>
      </c>
      <c r="K108" s="54" t="s">
        <v>69</v>
      </c>
      <c r="L108" s="53" t="s">
        <v>238</v>
      </c>
      <c r="M108" s="58" t="s">
        <v>63</v>
      </c>
      <c r="N108" t="str">
        <f t="shared" si="6"/>
        <v>Executed</v>
      </c>
      <c r="O108" t="str">
        <f t="shared" si="5"/>
        <v>Done</v>
      </c>
      <c r="P108" t="str">
        <f t="shared" si="4"/>
        <v>U3400 R6.4 - NIC5 - Meter Accuracy</v>
      </c>
    </row>
    <row r="109" spans="1:16" ht="15.75" hidden="1" thickBot="1" x14ac:dyDescent="0.3">
      <c r="A109" s="52">
        <v>1709</v>
      </c>
      <c r="B109" s="53" t="s">
        <v>58</v>
      </c>
      <c r="C109" s="54" t="s">
        <v>237</v>
      </c>
      <c r="D109" s="53" t="s">
        <v>92</v>
      </c>
      <c r="E109" s="54" t="s">
        <v>96</v>
      </c>
      <c r="F109" s="53" t="s">
        <v>61</v>
      </c>
      <c r="G109" s="55"/>
      <c r="H109" s="56">
        <v>45576</v>
      </c>
      <c r="I109" s="57">
        <v>0.62707175925925929</v>
      </c>
      <c r="J109" s="53" t="s">
        <v>69</v>
      </c>
      <c r="K109" s="54" t="s">
        <v>69</v>
      </c>
      <c r="L109" s="53" t="s">
        <v>238</v>
      </c>
      <c r="M109" s="58" t="s">
        <v>63</v>
      </c>
      <c r="N109" t="str">
        <f t="shared" si="6"/>
        <v>Executed</v>
      </c>
      <c r="O109" t="str">
        <f t="shared" si="5"/>
        <v>Done</v>
      </c>
      <c r="P109" t="str">
        <f t="shared" si="4"/>
        <v>U3400 R6.4 - NIC5 - Meter Data Integrity - Meter to UIQ (Full)</v>
      </c>
    </row>
    <row r="110" spans="1:16" ht="15.75" hidden="1" thickBot="1" x14ac:dyDescent="0.3">
      <c r="A110" s="52">
        <v>66</v>
      </c>
      <c r="B110" s="53" t="s">
        <v>58</v>
      </c>
      <c r="C110" s="54" t="s">
        <v>237</v>
      </c>
      <c r="D110" s="53" t="s">
        <v>92</v>
      </c>
      <c r="E110" s="54" t="s">
        <v>97</v>
      </c>
      <c r="F110" s="53" t="s">
        <v>61</v>
      </c>
      <c r="G110" s="55"/>
      <c r="H110" s="56">
        <v>45560</v>
      </c>
      <c r="I110" s="57">
        <v>0.5852546296296296</v>
      </c>
      <c r="J110" s="53" t="s">
        <v>69</v>
      </c>
      <c r="K110" s="54" t="s">
        <v>69</v>
      </c>
      <c r="L110" s="53" t="s">
        <v>238</v>
      </c>
      <c r="M110" s="58" t="s">
        <v>63</v>
      </c>
      <c r="N110" t="str">
        <f t="shared" si="6"/>
        <v>Executed</v>
      </c>
      <c r="O110" t="str">
        <f t="shared" si="5"/>
        <v>Done</v>
      </c>
      <c r="P110" t="str">
        <f t="shared" si="4"/>
        <v>U3400 R6.4 - NIC5 - AMM - On Demand Read - C1219 Read</v>
      </c>
    </row>
    <row r="111" spans="1:16" ht="15.75" hidden="1" thickBot="1" x14ac:dyDescent="0.3">
      <c r="A111" s="52">
        <v>63</v>
      </c>
      <c r="B111" s="53" t="s">
        <v>58</v>
      </c>
      <c r="C111" s="54" t="s">
        <v>237</v>
      </c>
      <c r="D111" s="53" t="s">
        <v>92</v>
      </c>
      <c r="E111" s="54" t="s">
        <v>98</v>
      </c>
      <c r="F111" s="53" t="s">
        <v>61</v>
      </c>
      <c r="G111" s="55"/>
      <c r="H111" s="56">
        <v>45560</v>
      </c>
      <c r="I111" s="57">
        <v>0.5939120370370371</v>
      </c>
      <c r="J111" s="53" t="s">
        <v>69</v>
      </c>
      <c r="K111" s="54" t="s">
        <v>69</v>
      </c>
      <c r="L111" s="53" t="s">
        <v>238</v>
      </c>
      <c r="M111" s="58" t="s">
        <v>63</v>
      </c>
      <c r="N111" t="str">
        <f t="shared" si="6"/>
        <v>Executed</v>
      </c>
      <c r="O111" t="str">
        <f t="shared" si="5"/>
        <v>Done</v>
      </c>
      <c r="P111" t="str">
        <f t="shared" si="4"/>
        <v>U3400 R6.4 - NIC5 - AMM - On Demand Read - Interval</v>
      </c>
    </row>
    <row r="112" spans="1:16" ht="15.75" hidden="1" thickBot="1" x14ac:dyDescent="0.3">
      <c r="A112" s="52">
        <v>62</v>
      </c>
      <c r="B112" s="53" t="s">
        <v>58</v>
      </c>
      <c r="C112" s="54" t="s">
        <v>237</v>
      </c>
      <c r="D112" s="53" t="s">
        <v>92</v>
      </c>
      <c r="E112" s="54" t="s">
        <v>99</v>
      </c>
      <c r="F112" s="53" t="s">
        <v>61</v>
      </c>
      <c r="G112" s="55"/>
      <c r="H112" s="56">
        <v>45560</v>
      </c>
      <c r="I112" s="57">
        <v>0.66189814814814818</v>
      </c>
      <c r="J112" s="53" t="s">
        <v>69</v>
      </c>
      <c r="K112" s="54" t="s">
        <v>69</v>
      </c>
      <c r="L112" s="53" t="s">
        <v>238</v>
      </c>
      <c r="M112" s="58" t="s">
        <v>63</v>
      </c>
      <c r="N112" t="str">
        <f t="shared" si="6"/>
        <v>Executed</v>
      </c>
      <c r="O112" t="str">
        <f t="shared" si="5"/>
        <v>Done</v>
      </c>
      <c r="P112" t="str">
        <f t="shared" si="4"/>
        <v>U3400 R6.4 - NIC5 - AMM - On Demand Read - New Data</v>
      </c>
    </row>
    <row r="113" spans="1:16" ht="15.75" hidden="1" thickBot="1" x14ac:dyDescent="0.3">
      <c r="A113" s="52">
        <v>64</v>
      </c>
      <c r="B113" s="53" t="s">
        <v>58</v>
      </c>
      <c r="C113" s="54" t="s">
        <v>237</v>
      </c>
      <c r="D113" s="53" t="s">
        <v>92</v>
      </c>
      <c r="E113" s="54" t="s">
        <v>100</v>
      </c>
      <c r="F113" s="53" t="s">
        <v>61</v>
      </c>
      <c r="G113" s="55"/>
      <c r="H113" s="56">
        <v>45560</v>
      </c>
      <c r="I113" s="57">
        <v>0.71337962962962964</v>
      </c>
      <c r="J113" s="53" t="s">
        <v>69</v>
      </c>
      <c r="K113" s="54" t="s">
        <v>69</v>
      </c>
      <c r="L113" s="53" t="s">
        <v>238</v>
      </c>
      <c r="M113" s="58" t="s">
        <v>63</v>
      </c>
      <c r="N113" t="str">
        <f t="shared" si="6"/>
        <v>Executed</v>
      </c>
      <c r="O113" t="str">
        <f t="shared" si="5"/>
        <v>Done</v>
      </c>
      <c r="P113" t="str">
        <f t="shared" si="4"/>
        <v>U3400 R6.4 - NIC5 - AMM - On Demand Read - Register</v>
      </c>
    </row>
    <row r="114" spans="1:16" ht="15.75" hidden="1" thickBot="1" x14ac:dyDescent="0.3">
      <c r="A114" s="52">
        <v>65</v>
      </c>
      <c r="B114" s="53" t="s">
        <v>58</v>
      </c>
      <c r="C114" s="54" t="s">
        <v>237</v>
      </c>
      <c r="D114" s="53" t="s">
        <v>92</v>
      </c>
      <c r="E114" s="54" t="s">
        <v>101</v>
      </c>
      <c r="F114" s="53" t="s">
        <v>61</v>
      </c>
      <c r="G114" s="55"/>
      <c r="H114" s="56">
        <v>45561</v>
      </c>
      <c r="I114" s="57">
        <v>0.44012731481481482</v>
      </c>
      <c r="J114" s="53" t="s">
        <v>69</v>
      </c>
      <c r="K114" s="54" t="s">
        <v>69</v>
      </c>
      <c r="L114" s="53" t="s">
        <v>238</v>
      </c>
      <c r="M114" s="58" t="s">
        <v>63</v>
      </c>
      <c r="N114" t="str">
        <f t="shared" si="6"/>
        <v>Executed</v>
      </c>
      <c r="O114" t="str">
        <f t="shared" si="5"/>
        <v>Done</v>
      </c>
      <c r="P114" t="str">
        <f t="shared" si="4"/>
        <v>U3400 R6.4 - NIC5 - AMM - On Demand Read - Stored Self Read</v>
      </c>
    </row>
    <row r="115" spans="1:16" ht="15.75" hidden="1" thickBot="1" x14ac:dyDescent="0.3">
      <c r="A115" s="52">
        <v>59</v>
      </c>
      <c r="B115" s="53" t="s">
        <v>58</v>
      </c>
      <c r="C115" s="54" t="s">
        <v>237</v>
      </c>
      <c r="D115" s="53" t="s">
        <v>92</v>
      </c>
      <c r="E115" s="54" t="s">
        <v>102</v>
      </c>
      <c r="F115" s="53" t="s">
        <v>61</v>
      </c>
      <c r="G115" s="55"/>
      <c r="H115" s="56">
        <v>45579</v>
      </c>
      <c r="I115" s="57">
        <v>0.52391203703703704</v>
      </c>
      <c r="J115" s="53" t="s">
        <v>69</v>
      </c>
      <c r="K115" s="54" t="s">
        <v>69</v>
      </c>
      <c r="L115" s="53" t="s">
        <v>238</v>
      </c>
      <c r="M115" s="58" t="s">
        <v>63</v>
      </c>
      <c r="N115" t="str">
        <f t="shared" si="6"/>
        <v>Executed</v>
      </c>
      <c r="O115" t="str">
        <f t="shared" si="5"/>
        <v>Done</v>
      </c>
      <c r="P115" t="str">
        <f t="shared" si="4"/>
        <v>U3400 R6.4 - NIC5 - Meter Data Integrity -  AMM export</v>
      </c>
    </row>
    <row r="116" spans="1:16" ht="15.75" thickBot="1" x14ac:dyDescent="0.3">
      <c r="A116" s="52">
        <v>58</v>
      </c>
      <c r="B116" s="53" t="s">
        <v>58</v>
      </c>
      <c r="C116" s="54" t="s">
        <v>237</v>
      </c>
      <c r="D116" s="53" t="s">
        <v>92</v>
      </c>
      <c r="E116" s="54" t="s">
        <v>103</v>
      </c>
      <c r="F116" s="53" t="s">
        <v>61</v>
      </c>
      <c r="G116" s="55" t="s">
        <v>104</v>
      </c>
      <c r="H116" s="56">
        <v>45589</v>
      </c>
      <c r="I116" s="57">
        <v>0.58092592592592596</v>
      </c>
      <c r="J116" s="53" t="s">
        <v>62</v>
      </c>
      <c r="K116" s="54" t="s">
        <v>62</v>
      </c>
      <c r="L116" s="53" t="s">
        <v>238</v>
      </c>
      <c r="M116" s="58" t="s">
        <v>63</v>
      </c>
      <c r="N116" t="str">
        <f t="shared" si="6"/>
        <v>RBT</v>
      </c>
      <c r="O116" t="str">
        <f t="shared" si="5"/>
        <v>Done</v>
      </c>
      <c r="P116" t="str">
        <f t="shared" si="4"/>
        <v>U3400 R6.4 - NIC5 - Meter Data Integrity -  EBQK</v>
      </c>
    </row>
    <row r="117" spans="1:16" ht="15.75" thickBot="1" x14ac:dyDescent="0.3">
      <c r="A117" s="52">
        <v>111</v>
      </c>
      <c r="B117" s="53" t="s">
        <v>58</v>
      </c>
      <c r="C117" s="54" t="s">
        <v>240</v>
      </c>
      <c r="D117" s="53" t="s">
        <v>92</v>
      </c>
      <c r="E117" s="54" t="s">
        <v>93</v>
      </c>
      <c r="F117" s="53" t="s">
        <v>61</v>
      </c>
      <c r="G117" s="55"/>
      <c r="H117" s="56">
        <v>45589</v>
      </c>
      <c r="I117" s="57">
        <v>0.60195601851851854</v>
      </c>
      <c r="J117" s="53" t="s">
        <v>62</v>
      </c>
      <c r="K117" s="54" t="s">
        <v>69</v>
      </c>
      <c r="L117" s="53" t="s">
        <v>242</v>
      </c>
      <c r="M117" s="58" t="s">
        <v>64</v>
      </c>
      <c r="N117" t="str">
        <f t="shared" si="6"/>
        <v>Executed</v>
      </c>
      <c r="O117" t="str">
        <f t="shared" si="5"/>
        <v>Done</v>
      </c>
      <c r="P117" t="str">
        <f t="shared" si="4"/>
        <v>U1300 R6.4 - NIC5 - Meter Accuracy</v>
      </c>
    </row>
    <row r="118" spans="1:16" ht="15.75" hidden="1" thickBot="1" x14ac:dyDescent="0.3">
      <c r="A118" s="52">
        <v>1709</v>
      </c>
      <c r="B118" s="53" t="s">
        <v>58</v>
      </c>
      <c r="C118" s="54" t="s">
        <v>240</v>
      </c>
      <c r="D118" s="53" t="s">
        <v>92</v>
      </c>
      <c r="E118" s="54" t="s">
        <v>96</v>
      </c>
      <c r="F118" s="53" t="s">
        <v>61</v>
      </c>
      <c r="G118" s="55"/>
      <c r="H118" s="56">
        <v>45580</v>
      </c>
      <c r="I118" s="57">
        <v>0.63990740740740737</v>
      </c>
      <c r="J118" s="53" t="s">
        <v>69</v>
      </c>
      <c r="K118" s="54" t="s">
        <v>69</v>
      </c>
      <c r="L118" s="53" t="s">
        <v>242</v>
      </c>
      <c r="M118" s="58" t="s">
        <v>64</v>
      </c>
      <c r="N118" t="str">
        <f t="shared" si="6"/>
        <v>Executed</v>
      </c>
      <c r="O118" t="str">
        <f t="shared" si="5"/>
        <v>Done</v>
      </c>
      <c r="P118" t="str">
        <f t="shared" si="4"/>
        <v>U1300 R6.4 - NIC5 - Meter Data Integrity - Meter to UIQ (Full)</v>
      </c>
    </row>
    <row r="119" spans="1:16" ht="15.75" hidden="1" thickBot="1" x14ac:dyDescent="0.3">
      <c r="A119" s="52">
        <v>66</v>
      </c>
      <c r="B119" s="53" t="s">
        <v>58</v>
      </c>
      <c r="C119" s="54" t="s">
        <v>240</v>
      </c>
      <c r="D119" s="53" t="s">
        <v>92</v>
      </c>
      <c r="E119" s="54" t="s">
        <v>97</v>
      </c>
      <c r="F119" s="53" t="s">
        <v>61</v>
      </c>
      <c r="G119" s="55"/>
      <c r="H119" s="56">
        <v>45565</v>
      </c>
      <c r="I119" s="57">
        <v>0.56895833333333334</v>
      </c>
      <c r="J119" s="53" t="s">
        <v>69</v>
      </c>
      <c r="K119" s="54" t="s">
        <v>69</v>
      </c>
      <c r="L119" s="53" t="s">
        <v>242</v>
      </c>
      <c r="M119" s="58" t="s">
        <v>64</v>
      </c>
      <c r="N119" t="str">
        <f t="shared" si="6"/>
        <v>Executed</v>
      </c>
      <c r="O119" t="str">
        <f t="shared" si="5"/>
        <v>Done</v>
      </c>
      <c r="P119" t="str">
        <f t="shared" si="4"/>
        <v>U1300 R6.4 - NIC5 - AMM - On Demand Read - C1219 Read</v>
      </c>
    </row>
    <row r="120" spans="1:16" ht="15.75" hidden="1" thickBot="1" x14ac:dyDescent="0.3">
      <c r="A120" s="52">
        <v>63</v>
      </c>
      <c r="B120" s="53" t="s">
        <v>58</v>
      </c>
      <c r="C120" s="54" t="s">
        <v>240</v>
      </c>
      <c r="D120" s="53" t="s">
        <v>92</v>
      </c>
      <c r="E120" s="54" t="s">
        <v>98</v>
      </c>
      <c r="F120" s="53" t="s">
        <v>61</v>
      </c>
      <c r="G120" s="55"/>
      <c r="H120" s="56">
        <v>45565</v>
      </c>
      <c r="I120" s="57">
        <v>0.57320601851851849</v>
      </c>
      <c r="J120" s="53" t="s">
        <v>69</v>
      </c>
      <c r="K120" s="54" t="s">
        <v>69</v>
      </c>
      <c r="L120" s="53" t="s">
        <v>242</v>
      </c>
      <c r="M120" s="58" t="s">
        <v>64</v>
      </c>
      <c r="N120" t="str">
        <f t="shared" si="6"/>
        <v>Executed</v>
      </c>
      <c r="O120" t="str">
        <f t="shared" si="5"/>
        <v>Done</v>
      </c>
      <c r="P120" t="str">
        <f t="shared" si="4"/>
        <v>U1300 R6.4 - NIC5 - AMM - On Demand Read - Interval</v>
      </c>
    </row>
    <row r="121" spans="1:16" ht="15.75" hidden="1" thickBot="1" x14ac:dyDescent="0.3">
      <c r="A121" s="52">
        <v>62</v>
      </c>
      <c r="B121" s="53" t="s">
        <v>58</v>
      </c>
      <c r="C121" s="54" t="s">
        <v>240</v>
      </c>
      <c r="D121" s="53" t="s">
        <v>92</v>
      </c>
      <c r="E121" s="54" t="s">
        <v>99</v>
      </c>
      <c r="F121" s="53" t="s">
        <v>61</v>
      </c>
      <c r="G121" s="55"/>
      <c r="H121" s="56">
        <v>45565</v>
      </c>
      <c r="I121" s="57">
        <v>0.60293981481481485</v>
      </c>
      <c r="J121" s="53" t="s">
        <v>69</v>
      </c>
      <c r="K121" s="54" t="s">
        <v>69</v>
      </c>
      <c r="L121" s="53" t="s">
        <v>242</v>
      </c>
      <c r="M121" s="58" t="s">
        <v>64</v>
      </c>
      <c r="N121" t="str">
        <f t="shared" si="6"/>
        <v>Executed</v>
      </c>
      <c r="O121" t="str">
        <f t="shared" si="5"/>
        <v>Done</v>
      </c>
      <c r="P121" t="str">
        <f t="shared" si="4"/>
        <v>U1300 R6.4 - NIC5 - AMM - On Demand Read - New Data</v>
      </c>
    </row>
    <row r="122" spans="1:16" ht="15.75" hidden="1" thickBot="1" x14ac:dyDescent="0.3">
      <c r="A122" s="52">
        <v>64</v>
      </c>
      <c r="B122" s="53" t="s">
        <v>58</v>
      </c>
      <c r="C122" s="54" t="s">
        <v>240</v>
      </c>
      <c r="D122" s="53" t="s">
        <v>92</v>
      </c>
      <c r="E122" s="54" t="s">
        <v>100</v>
      </c>
      <c r="F122" s="53" t="s">
        <v>61</v>
      </c>
      <c r="G122" s="55"/>
      <c r="H122" s="56">
        <v>45565</v>
      </c>
      <c r="I122" s="57">
        <v>0.60408564814814814</v>
      </c>
      <c r="J122" s="53" t="s">
        <v>69</v>
      </c>
      <c r="K122" s="54" t="s">
        <v>69</v>
      </c>
      <c r="L122" s="53" t="s">
        <v>242</v>
      </c>
      <c r="M122" s="58" t="s">
        <v>64</v>
      </c>
      <c r="N122" t="str">
        <f t="shared" si="6"/>
        <v>Executed</v>
      </c>
      <c r="O122" t="str">
        <f t="shared" si="5"/>
        <v>Done</v>
      </c>
      <c r="P122" t="str">
        <f t="shared" si="4"/>
        <v>U1300 R6.4 - NIC5 - AMM - On Demand Read - Register</v>
      </c>
    </row>
    <row r="123" spans="1:16" ht="15.75" hidden="1" thickBot="1" x14ac:dyDescent="0.3">
      <c r="A123" s="52">
        <v>65</v>
      </c>
      <c r="B123" s="53" t="s">
        <v>58</v>
      </c>
      <c r="C123" s="54" t="s">
        <v>240</v>
      </c>
      <c r="D123" s="53" t="s">
        <v>92</v>
      </c>
      <c r="E123" s="54" t="s">
        <v>101</v>
      </c>
      <c r="F123" s="53" t="s">
        <v>61</v>
      </c>
      <c r="G123" s="55"/>
      <c r="H123" s="56">
        <v>45565</v>
      </c>
      <c r="I123" s="57">
        <v>0.60706018518518523</v>
      </c>
      <c r="J123" s="53" t="s">
        <v>69</v>
      </c>
      <c r="K123" s="54" t="s">
        <v>69</v>
      </c>
      <c r="L123" s="53" t="s">
        <v>242</v>
      </c>
      <c r="M123" s="58" t="s">
        <v>64</v>
      </c>
      <c r="N123" t="str">
        <f t="shared" si="6"/>
        <v>Executed</v>
      </c>
      <c r="O123" t="str">
        <f t="shared" si="5"/>
        <v>Done</v>
      </c>
      <c r="P123" t="str">
        <f t="shared" si="4"/>
        <v>U1300 R6.4 - NIC5 - AMM - On Demand Read - Stored Self Read</v>
      </c>
    </row>
    <row r="124" spans="1:16" ht="15.75" hidden="1" thickBot="1" x14ac:dyDescent="0.3">
      <c r="A124" s="52">
        <v>59</v>
      </c>
      <c r="B124" s="53" t="s">
        <v>58</v>
      </c>
      <c r="C124" s="54" t="s">
        <v>240</v>
      </c>
      <c r="D124" s="53" t="s">
        <v>92</v>
      </c>
      <c r="E124" s="54" t="s">
        <v>102</v>
      </c>
      <c r="F124" s="53" t="s">
        <v>61</v>
      </c>
      <c r="G124" s="55"/>
      <c r="H124" s="56">
        <v>45572</v>
      </c>
      <c r="I124" s="57">
        <v>0.46847222222222223</v>
      </c>
      <c r="J124" s="53" t="s">
        <v>69</v>
      </c>
      <c r="K124" s="54" t="s">
        <v>69</v>
      </c>
      <c r="L124" s="53" t="s">
        <v>242</v>
      </c>
      <c r="M124" s="58" t="s">
        <v>64</v>
      </c>
      <c r="N124" t="str">
        <f t="shared" si="6"/>
        <v>Executed</v>
      </c>
      <c r="O124" t="str">
        <f t="shared" si="5"/>
        <v>Done</v>
      </c>
      <c r="P124" t="str">
        <f t="shared" si="4"/>
        <v>U1300 R6.4 - NIC5 - Meter Data Integrity -  AMM export</v>
      </c>
    </row>
    <row r="125" spans="1:16" ht="29.25" thickBot="1" x14ac:dyDescent="0.3">
      <c r="A125" s="52">
        <v>58</v>
      </c>
      <c r="B125" s="53" t="s">
        <v>58</v>
      </c>
      <c r="C125" s="54" t="s">
        <v>240</v>
      </c>
      <c r="D125" s="53" t="s">
        <v>92</v>
      </c>
      <c r="E125" s="54" t="s">
        <v>103</v>
      </c>
      <c r="F125" s="53" t="s">
        <v>61</v>
      </c>
      <c r="G125" s="55" t="s">
        <v>106</v>
      </c>
      <c r="H125" s="56">
        <v>45580</v>
      </c>
      <c r="I125" s="57">
        <v>0.49546296296296299</v>
      </c>
      <c r="J125" s="53" t="s">
        <v>62</v>
      </c>
      <c r="K125" s="54" t="s">
        <v>62</v>
      </c>
      <c r="L125" s="53" t="s">
        <v>242</v>
      </c>
      <c r="M125" s="58" t="s">
        <v>64</v>
      </c>
      <c r="N125" t="str">
        <f t="shared" si="6"/>
        <v>RBT</v>
      </c>
      <c r="O125" t="str">
        <f t="shared" si="5"/>
        <v>Done</v>
      </c>
      <c r="P125" t="str">
        <f t="shared" si="4"/>
        <v>U1300 R6.4 - NIC5 - Meter Data Integrity -  EBQK</v>
      </c>
    </row>
    <row r="126" spans="1:16" ht="15.75" hidden="1" thickBot="1" x14ac:dyDescent="0.3">
      <c r="A126" s="52">
        <v>1710</v>
      </c>
      <c r="B126" s="53" t="s">
        <v>58</v>
      </c>
      <c r="C126" s="54" t="s">
        <v>241</v>
      </c>
      <c r="D126" s="53" t="s">
        <v>92</v>
      </c>
      <c r="E126" s="54" t="s">
        <v>107</v>
      </c>
      <c r="F126" s="53" t="s">
        <v>61</v>
      </c>
      <c r="G126" s="55"/>
      <c r="H126" s="56">
        <v>45575</v>
      </c>
      <c r="I126" s="57">
        <v>0.42218749999999999</v>
      </c>
      <c r="J126" s="53" t="s">
        <v>69</v>
      </c>
      <c r="K126" s="54" t="s">
        <v>69</v>
      </c>
      <c r="L126" s="53" t="s">
        <v>242</v>
      </c>
      <c r="M126" s="58" t="s">
        <v>64</v>
      </c>
      <c r="N126" t="str">
        <f t="shared" si="6"/>
        <v>Executed</v>
      </c>
      <c r="O126" t="str">
        <f t="shared" si="5"/>
        <v>Done</v>
      </c>
      <c r="P126" t="str">
        <f t="shared" si="4"/>
        <v>U1300 R6.4 - NIC3 - Meter Data Integrity - Meter to UIQ (Sanity)</v>
      </c>
    </row>
    <row r="127" spans="1:16" ht="15.75" hidden="1" thickBot="1" x14ac:dyDescent="0.3">
      <c r="A127" s="52">
        <v>1710</v>
      </c>
      <c r="B127" s="53" t="s">
        <v>58</v>
      </c>
      <c r="C127" s="54" t="s">
        <v>240</v>
      </c>
      <c r="D127" s="53" t="s">
        <v>92</v>
      </c>
      <c r="E127" s="54" t="s">
        <v>107</v>
      </c>
      <c r="F127" s="53" t="s">
        <v>61</v>
      </c>
      <c r="G127" s="55"/>
      <c r="H127" s="56">
        <v>45575</v>
      </c>
      <c r="I127" s="57">
        <v>0.47996527777777781</v>
      </c>
      <c r="J127" s="53" t="s">
        <v>69</v>
      </c>
      <c r="K127" s="54" t="s">
        <v>69</v>
      </c>
      <c r="L127" s="53" t="s">
        <v>242</v>
      </c>
      <c r="M127" s="58" t="s">
        <v>64</v>
      </c>
      <c r="N127" t="str">
        <f t="shared" si="6"/>
        <v>Executed</v>
      </c>
      <c r="O127" t="str">
        <f t="shared" si="5"/>
        <v>Done</v>
      </c>
      <c r="P127" t="str">
        <f t="shared" si="4"/>
        <v>U1300 R6.4 - NIC5 - Meter Data Integrity - Meter to UIQ (Sanity)</v>
      </c>
    </row>
    <row r="128" spans="1:16" ht="15.75" hidden="1" thickBot="1" x14ac:dyDescent="0.3">
      <c r="A128" s="52">
        <v>1710</v>
      </c>
      <c r="B128" s="53" t="s">
        <v>58</v>
      </c>
      <c r="C128" s="54" t="s">
        <v>239</v>
      </c>
      <c r="D128" s="53" t="s">
        <v>92</v>
      </c>
      <c r="E128" s="54" t="s">
        <v>107</v>
      </c>
      <c r="F128" s="53" t="s">
        <v>61</v>
      </c>
      <c r="G128" s="55"/>
      <c r="H128" s="56">
        <v>45576</v>
      </c>
      <c r="I128" s="57">
        <v>0.50627314814814817</v>
      </c>
      <c r="J128" s="53" t="s">
        <v>69</v>
      </c>
      <c r="K128" s="54" t="s">
        <v>69</v>
      </c>
      <c r="L128" s="53" t="s">
        <v>238</v>
      </c>
      <c r="M128" s="58" t="s">
        <v>63</v>
      </c>
      <c r="N128" t="str">
        <f t="shared" si="6"/>
        <v>Executed</v>
      </c>
      <c r="O128" t="str">
        <f t="shared" si="5"/>
        <v>Done</v>
      </c>
      <c r="P128" t="str">
        <f t="shared" si="4"/>
        <v>U3400 R6.4 - NIC3 - Meter Data Integrity - Meter to UIQ (Sanity)</v>
      </c>
    </row>
    <row r="129" spans="1:16" ht="15.75" hidden="1" thickBot="1" x14ac:dyDescent="0.3">
      <c r="A129" s="52">
        <v>1710</v>
      </c>
      <c r="B129" s="53" t="s">
        <v>58</v>
      </c>
      <c r="C129" s="54" t="s">
        <v>237</v>
      </c>
      <c r="D129" s="53" t="s">
        <v>92</v>
      </c>
      <c r="E129" s="54" t="s">
        <v>107</v>
      </c>
      <c r="F129" s="53" t="s">
        <v>61</v>
      </c>
      <c r="G129" s="55"/>
      <c r="H129" s="56">
        <v>45576</v>
      </c>
      <c r="I129" s="57">
        <v>0.50613425925925926</v>
      </c>
      <c r="J129" s="53" t="s">
        <v>69</v>
      </c>
      <c r="K129" s="54" t="s">
        <v>69</v>
      </c>
      <c r="L129" s="53" t="s">
        <v>238</v>
      </c>
      <c r="M129" s="58" t="s">
        <v>63</v>
      </c>
      <c r="N129" t="str">
        <f t="shared" si="6"/>
        <v>Executed</v>
      </c>
      <c r="O129" t="str">
        <f t="shared" si="5"/>
        <v>Done</v>
      </c>
      <c r="P129" t="str">
        <f t="shared" si="4"/>
        <v>U3400 R6.4 - NIC5 - Meter Data Integrity - Meter to UIQ (Sanity)</v>
      </c>
    </row>
    <row r="130" spans="1:16" ht="15.75" hidden="1" thickBot="1" x14ac:dyDescent="0.3">
      <c r="A130" s="52">
        <v>33</v>
      </c>
      <c r="B130" s="53" t="s">
        <v>58</v>
      </c>
      <c r="C130" s="54" t="s">
        <v>241</v>
      </c>
      <c r="D130" s="53" t="s">
        <v>92</v>
      </c>
      <c r="E130" s="54" t="s">
        <v>108</v>
      </c>
      <c r="F130" s="53" t="s">
        <v>61</v>
      </c>
      <c r="G130" s="55"/>
      <c r="H130" s="56">
        <v>45574</v>
      </c>
      <c r="I130" s="57">
        <v>0.6742824074074073</v>
      </c>
      <c r="J130" s="53" t="s">
        <v>69</v>
      </c>
      <c r="K130" s="54" t="s">
        <v>69</v>
      </c>
      <c r="L130" s="53" t="s">
        <v>242</v>
      </c>
      <c r="M130" s="58" t="s">
        <v>64</v>
      </c>
      <c r="N130" t="str">
        <f t="shared" si="6"/>
        <v>Executed</v>
      </c>
      <c r="O130" t="str">
        <f t="shared" si="5"/>
        <v>Done</v>
      </c>
      <c r="P130" t="str">
        <f t="shared" ref="P130:P193" si="7">CONCATENATE(C130," - ",E130)</f>
        <v>U1300 R6.4 - NIC3 - AMM - On Demand Read - NIC Event Log</v>
      </c>
    </row>
    <row r="131" spans="1:16" ht="15.75" hidden="1" thickBot="1" x14ac:dyDescent="0.3">
      <c r="A131" s="52">
        <v>33</v>
      </c>
      <c r="B131" s="53" t="s">
        <v>58</v>
      </c>
      <c r="C131" s="54" t="s">
        <v>240</v>
      </c>
      <c r="D131" s="53" t="s">
        <v>92</v>
      </c>
      <c r="E131" s="54" t="s">
        <v>108</v>
      </c>
      <c r="F131" s="53" t="s">
        <v>61</v>
      </c>
      <c r="G131" s="55"/>
      <c r="H131" s="56">
        <v>45574</v>
      </c>
      <c r="I131" s="57">
        <v>0.67479166666666668</v>
      </c>
      <c r="J131" s="53" t="s">
        <v>69</v>
      </c>
      <c r="K131" s="54" t="s">
        <v>69</v>
      </c>
      <c r="L131" s="53" t="s">
        <v>242</v>
      </c>
      <c r="M131" s="58" t="s">
        <v>64</v>
      </c>
      <c r="N131" t="str">
        <f t="shared" si="6"/>
        <v>Executed</v>
      </c>
      <c r="O131" t="str">
        <f t="shared" ref="O131:O194" si="8">IF(OR(K131="No Run",K131="Not Completed"),"Unfinished",IF(OR(K131="asdfs"),"RBT",IF(OR(K131="N/A"),"N/A",IF(OR(K131="Passed",K131="Failed",K131="RBT"),"Done",IF(OR(K131="Blocked"),"Blocked","-")))))</f>
        <v>Done</v>
      </c>
      <c r="P131" t="str">
        <f t="shared" si="7"/>
        <v>U1300 R6.4 - NIC5 - AMM - On Demand Read - NIC Event Log</v>
      </c>
    </row>
    <row r="132" spans="1:16" ht="15.75" hidden="1" thickBot="1" x14ac:dyDescent="0.3">
      <c r="A132" s="52">
        <v>33</v>
      </c>
      <c r="B132" s="53" t="s">
        <v>58</v>
      </c>
      <c r="C132" s="54" t="s">
        <v>239</v>
      </c>
      <c r="D132" s="53" t="s">
        <v>92</v>
      </c>
      <c r="E132" s="54" t="s">
        <v>108</v>
      </c>
      <c r="F132" s="53" t="s">
        <v>61</v>
      </c>
      <c r="G132" s="55"/>
      <c r="H132" s="56">
        <v>45561</v>
      </c>
      <c r="I132" s="57">
        <v>0.46074074074074073</v>
      </c>
      <c r="J132" s="53" t="s">
        <v>69</v>
      </c>
      <c r="K132" s="54" t="s">
        <v>69</v>
      </c>
      <c r="L132" s="53" t="s">
        <v>238</v>
      </c>
      <c r="M132" s="58" t="s">
        <v>63</v>
      </c>
      <c r="N132" t="str">
        <f t="shared" ref="N132:N195" si="9">IF(OR(K132="No Run",K132="Blocked",K132="N/A"),"No Run",IF(OR(K132="RBT"),"RBT","Executed"))</f>
        <v>Executed</v>
      </c>
      <c r="O132" t="str">
        <f t="shared" si="8"/>
        <v>Done</v>
      </c>
      <c r="P132" t="str">
        <f t="shared" si="7"/>
        <v>U3400 R6.4 - NIC3 - AMM - On Demand Read - NIC Event Log</v>
      </c>
    </row>
    <row r="133" spans="1:16" ht="15.75" hidden="1" thickBot="1" x14ac:dyDescent="0.3">
      <c r="A133" s="52">
        <v>33</v>
      </c>
      <c r="B133" s="53" t="s">
        <v>58</v>
      </c>
      <c r="C133" s="54" t="s">
        <v>237</v>
      </c>
      <c r="D133" s="53" t="s">
        <v>92</v>
      </c>
      <c r="E133" s="54" t="s">
        <v>108</v>
      </c>
      <c r="F133" s="53" t="s">
        <v>61</v>
      </c>
      <c r="G133" s="55"/>
      <c r="H133" s="56">
        <v>45561</v>
      </c>
      <c r="I133" s="57">
        <v>0.4612384259259259</v>
      </c>
      <c r="J133" s="53" t="s">
        <v>69</v>
      </c>
      <c r="K133" s="54" t="s">
        <v>69</v>
      </c>
      <c r="L133" s="53" t="s">
        <v>238</v>
      </c>
      <c r="M133" s="58" t="s">
        <v>63</v>
      </c>
      <c r="N133" t="str">
        <f t="shared" si="9"/>
        <v>Executed</v>
      </c>
      <c r="O133" t="str">
        <f t="shared" si="8"/>
        <v>Done</v>
      </c>
      <c r="P133" t="str">
        <f t="shared" si="7"/>
        <v>U3400 R6.4 - NIC5 - AMM - On Demand Read - NIC Event Log</v>
      </c>
    </row>
    <row r="134" spans="1:16" ht="15.75" hidden="1" thickBot="1" x14ac:dyDescent="0.3">
      <c r="A134" s="52">
        <v>60</v>
      </c>
      <c r="B134" s="53" t="s">
        <v>58</v>
      </c>
      <c r="C134" s="54" t="s">
        <v>241</v>
      </c>
      <c r="D134" s="53" t="s">
        <v>92</v>
      </c>
      <c r="E134" s="54" t="s">
        <v>109</v>
      </c>
      <c r="F134" s="53" t="s">
        <v>91</v>
      </c>
      <c r="G134" s="55"/>
      <c r="H134" s="56">
        <v>45572</v>
      </c>
      <c r="I134" s="57">
        <v>0.68942129629629623</v>
      </c>
      <c r="J134" s="53" t="s">
        <v>69</v>
      </c>
      <c r="K134" s="54" t="s">
        <v>69</v>
      </c>
      <c r="L134" s="53" t="s">
        <v>242</v>
      </c>
      <c r="M134" s="58" t="s">
        <v>64</v>
      </c>
      <c r="N134" t="str">
        <f t="shared" si="9"/>
        <v>Executed</v>
      </c>
      <c r="O134" t="str">
        <f t="shared" si="8"/>
        <v>Done</v>
      </c>
      <c r="P134" t="str">
        <f t="shared" si="7"/>
        <v>U1300 R6.4 - NIC3 - Meter display -  register resolution</v>
      </c>
    </row>
    <row r="135" spans="1:16" ht="15.75" hidden="1" thickBot="1" x14ac:dyDescent="0.3">
      <c r="A135" s="52">
        <v>60</v>
      </c>
      <c r="B135" s="53" t="s">
        <v>58</v>
      </c>
      <c r="C135" s="54" t="s">
        <v>240</v>
      </c>
      <c r="D135" s="53" t="s">
        <v>92</v>
      </c>
      <c r="E135" s="54" t="s">
        <v>109</v>
      </c>
      <c r="F135" s="53" t="s">
        <v>91</v>
      </c>
      <c r="G135" s="55"/>
      <c r="H135" s="56">
        <v>45572</v>
      </c>
      <c r="I135" s="57">
        <v>0.69012731481481471</v>
      </c>
      <c r="J135" s="53" t="s">
        <v>69</v>
      </c>
      <c r="K135" s="54" t="s">
        <v>69</v>
      </c>
      <c r="L135" s="53" t="s">
        <v>242</v>
      </c>
      <c r="M135" s="58" t="s">
        <v>64</v>
      </c>
      <c r="N135" t="str">
        <f t="shared" si="9"/>
        <v>Executed</v>
      </c>
      <c r="O135" t="str">
        <f t="shared" si="8"/>
        <v>Done</v>
      </c>
      <c r="P135" t="str">
        <f t="shared" si="7"/>
        <v>U1300 R6.4 - NIC5 - Meter display -  register resolution</v>
      </c>
    </row>
    <row r="136" spans="1:16" ht="15.75" hidden="1" thickBot="1" x14ac:dyDescent="0.3">
      <c r="A136" s="52">
        <v>60</v>
      </c>
      <c r="B136" s="53" t="s">
        <v>58</v>
      </c>
      <c r="C136" s="54" t="s">
        <v>239</v>
      </c>
      <c r="D136" s="53" t="s">
        <v>92</v>
      </c>
      <c r="E136" s="54" t="s">
        <v>109</v>
      </c>
      <c r="F136" s="53" t="s">
        <v>91</v>
      </c>
      <c r="G136" s="55"/>
      <c r="H136" s="56">
        <v>45572</v>
      </c>
      <c r="I136" s="57">
        <v>0.51140046296296293</v>
      </c>
      <c r="J136" s="53" t="s">
        <v>69</v>
      </c>
      <c r="K136" s="54" t="s">
        <v>69</v>
      </c>
      <c r="L136" s="53" t="s">
        <v>238</v>
      </c>
      <c r="M136" s="58" t="s">
        <v>63</v>
      </c>
      <c r="N136" t="str">
        <f t="shared" si="9"/>
        <v>Executed</v>
      </c>
      <c r="O136" t="str">
        <f t="shared" si="8"/>
        <v>Done</v>
      </c>
      <c r="P136" t="str">
        <f t="shared" si="7"/>
        <v>U3400 R6.4 - NIC3 - Meter display -  register resolution</v>
      </c>
    </row>
    <row r="137" spans="1:16" ht="15.75" hidden="1" thickBot="1" x14ac:dyDescent="0.3">
      <c r="A137" s="52">
        <v>60</v>
      </c>
      <c r="B137" s="53" t="s">
        <v>58</v>
      </c>
      <c r="C137" s="54" t="s">
        <v>237</v>
      </c>
      <c r="D137" s="53" t="s">
        <v>92</v>
      </c>
      <c r="E137" s="54" t="s">
        <v>109</v>
      </c>
      <c r="F137" s="53" t="s">
        <v>91</v>
      </c>
      <c r="G137" s="55"/>
      <c r="H137" s="56">
        <v>45572</v>
      </c>
      <c r="I137" s="57">
        <v>0.51101851851851854</v>
      </c>
      <c r="J137" s="53" t="s">
        <v>69</v>
      </c>
      <c r="K137" s="54" t="s">
        <v>69</v>
      </c>
      <c r="L137" s="53" t="s">
        <v>238</v>
      </c>
      <c r="M137" s="58" t="s">
        <v>63</v>
      </c>
      <c r="N137" t="str">
        <f t="shared" si="9"/>
        <v>Executed</v>
      </c>
      <c r="O137" t="str">
        <f t="shared" si="8"/>
        <v>Done</v>
      </c>
      <c r="P137" t="str">
        <f t="shared" si="7"/>
        <v>U3400 R6.4 - NIC5 - Meter display -  register resolution</v>
      </c>
    </row>
    <row r="138" spans="1:16" ht="15.75" hidden="1" thickBot="1" x14ac:dyDescent="0.3">
      <c r="A138" s="52">
        <v>144</v>
      </c>
      <c r="B138" s="53" t="s">
        <v>58</v>
      </c>
      <c r="C138" s="54" t="s">
        <v>239</v>
      </c>
      <c r="D138" s="53" t="s">
        <v>247</v>
      </c>
      <c r="E138" s="54" t="s">
        <v>110</v>
      </c>
      <c r="F138" s="53" t="s">
        <v>91</v>
      </c>
      <c r="G138" s="55"/>
      <c r="H138" s="56">
        <v>45572</v>
      </c>
      <c r="I138" s="57">
        <v>0.66921296296296295</v>
      </c>
      <c r="J138" s="53" t="s">
        <v>111</v>
      </c>
      <c r="K138" s="54" t="s">
        <v>111</v>
      </c>
      <c r="L138" s="53" t="s">
        <v>238</v>
      </c>
      <c r="M138" s="58" t="s">
        <v>63</v>
      </c>
      <c r="N138" t="str">
        <f t="shared" si="9"/>
        <v>No Run</v>
      </c>
      <c r="O138" t="str">
        <f t="shared" si="8"/>
        <v>N/A</v>
      </c>
      <c r="P138" t="str">
        <f t="shared" si="7"/>
        <v>U3400 R6.4 - NIC3 - Meter supply contactor - Arm Remotely</v>
      </c>
    </row>
    <row r="139" spans="1:16" ht="15.75" hidden="1" thickBot="1" x14ac:dyDescent="0.3">
      <c r="A139" s="52">
        <v>69</v>
      </c>
      <c r="B139" s="53" t="s">
        <v>58</v>
      </c>
      <c r="C139" s="54" t="s">
        <v>239</v>
      </c>
      <c r="D139" s="53" t="s">
        <v>247</v>
      </c>
      <c r="E139" s="54" t="s">
        <v>112</v>
      </c>
      <c r="F139" s="53" t="s">
        <v>61</v>
      </c>
      <c r="G139" s="55"/>
      <c r="H139" s="56">
        <v>45565</v>
      </c>
      <c r="I139" s="57">
        <v>0.67722222222222228</v>
      </c>
      <c r="J139" s="53" t="s">
        <v>69</v>
      </c>
      <c r="K139" s="54" t="s">
        <v>69</v>
      </c>
      <c r="L139" s="53" t="s">
        <v>238</v>
      </c>
      <c r="M139" s="58" t="s">
        <v>63</v>
      </c>
      <c r="N139" t="str">
        <f t="shared" si="9"/>
        <v>Executed</v>
      </c>
      <c r="O139" t="str">
        <f t="shared" si="8"/>
        <v>Done</v>
      </c>
      <c r="P139" t="str">
        <f t="shared" si="7"/>
        <v>U3400 R6.4 - NIC3 - Meter supply contactor - Remote Lockout</v>
      </c>
    </row>
    <row r="140" spans="1:16" ht="15.75" hidden="1" thickBot="1" x14ac:dyDescent="0.3">
      <c r="A140" s="52">
        <v>68</v>
      </c>
      <c r="B140" s="53" t="s">
        <v>58</v>
      </c>
      <c r="C140" s="54" t="s">
        <v>239</v>
      </c>
      <c r="D140" s="53" t="s">
        <v>247</v>
      </c>
      <c r="E140" s="54" t="s">
        <v>113</v>
      </c>
      <c r="F140" s="53" t="s">
        <v>61</v>
      </c>
      <c r="G140" s="55"/>
      <c r="H140" s="56">
        <v>45565</v>
      </c>
      <c r="I140" s="57">
        <v>0.71710648148148148</v>
      </c>
      <c r="J140" s="53" t="s">
        <v>69</v>
      </c>
      <c r="K140" s="54" t="s">
        <v>69</v>
      </c>
      <c r="L140" s="53" t="s">
        <v>238</v>
      </c>
      <c r="M140" s="58" t="s">
        <v>63</v>
      </c>
      <c r="N140" t="str">
        <f t="shared" si="9"/>
        <v>Executed</v>
      </c>
      <c r="O140" t="str">
        <f t="shared" si="8"/>
        <v>Done</v>
      </c>
      <c r="P140" t="str">
        <f t="shared" si="7"/>
        <v>U3400 R6.4 - NIC3 - Meter supply contactor connect disconnect - local</v>
      </c>
    </row>
    <row r="141" spans="1:16" ht="15.75" hidden="1" thickBot="1" x14ac:dyDescent="0.3">
      <c r="A141" s="52">
        <v>67</v>
      </c>
      <c r="B141" s="53" t="s">
        <v>58</v>
      </c>
      <c r="C141" s="54" t="s">
        <v>239</v>
      </c>
      <c r="D141" s="53" t="s">
        <v>247</v>
      </c>
      <c r="E141" s="54" t="s">
        <v>114</v>
      </c>
      <c r="F141" s="53" t="s">
        <v>61</v>
      </c>
      <c r="G141" s="55"/>
      <c r="H141" s="56">
        <v>45565</v>
      </c>
      <c r="I141" s="57">
        <v>0.7284722222222223</v>
      </c>
      <c r="J141" s="53" t="s">
        <v>69</v>
      </c>
      <c r="K141" s="54" t="s">
        <v>69</v>
      </c>
      <c r="L141" s="53" t="s">
        <v>238</v>
      </c>
      <c r="M141" s="58" t="s">
        <v>63</v>
      </c>
      <c r="N141" t="str">
        <f t="shared" si="9"/>
        <v>Executed</v>
      </c>
      <c r="O141" t="str">
        <f t="shared" si="8"/>
        <v>Done</v>
      </c>
      <c r="P141" t="str">
        <f t="shared" si="7"/>
        <v>U3400 R6.4 - NIC3 - Meter supply contactor connect disconnect - remote</v>
      </c>
    </row>
    <row r="142" spans="1:16" ht="15.75" hidden="1" thickBot="1" x14ac:dyDescent="0.3">
      <c r="A142" s="52">
        <v>144</v>
      </c>
      <c r="B142" s="53" t="s">
        <v>58</v>
      </c>
      <c r="C142" s="54" t="s">
        <v>241</v>
      </c>
      <c r="D142" s="53" t="s">
        <v>247</v>
      </c>
      <c r="E142" s="54" t="s">
        <v>110</v>
      </c>
      <c r="F142" s="53" t="s">
        <v>91</v>
      </c>
      <c r="G142" s="55"/>
      <c r="H142" s="56">
        <v>45575</v>
      </c>
      <c r="I142" s="57">
        <v>0.36171296296296296</v>
      </c>
      <c r="J142" s="53" t="s">
        <v>111</v>
      </c>
      <c r="K142" s="54" t="s">
        <v>111</v>
      </c>
      <c r="L142" s="53" t="s">
        <v>242</v>
      </c>
      <c r="M142" s="58" t="s">
        <v>64</v>
      </c>
      <c r="N142" t="str">
        <f t="shared" si="9"/>
        <v>No Run</v>
      </c>
      <c r="O142" t="str">
        <f t="shared" si="8"/>
        <v>N/A</v>
      </c>
      <c r="P142" t="str">
        <f t="shared" si="7"/>
        <v>U1300 R6.4 - NIC3 - Meter supply contactor - Arm Remotely</v>
      </c>
    </row>
    <row r="143" spans="1:16" ht="15.75" hidden="1" thickBot="1" x14ac:dyDescent="0.3">
      <c r="A143" s="52">
        <v>69</v>
      </c>
      <c r="B143" s="53" t="s">
        <v>58</v>
      </c>
      <c r="C143" s="54" t="s">
        <v>241</v>
      </c>
      <c r="D143" s="53" t="s">
        <v>247</v>
      </c>
      <c r="E143" s="54" t="s">
        <v>112</v>
      </c>
      <c r="F143" s="53" t="s">
        <v>61</v>
      </c>
      <c r="G143" s="55"/>
      <c r="H143" s="56">
        <v>45572</v>
      </c>
      <c r="I143" s="57">
        <v>0.56270833333333337</v>
      </c>
      <c r="J143" s="53" t="s">
        <v>69</v>
      </c>
      <c r="K143" s="54" t="s">
        <v>69</v>
      </c>
      <c r="L143" s="53" t="s">
        <v>242</v>
      </c>
      <c r="M143" s="58" t="s">
        <v>64</v>
      </c>
      <c r="N143" t="str">
        <f t="shared" si="9"/>
        <v>Executed</v>
      </c>
      <c r="O143" t="str">
        <f t="shared" si="8"/>
        <v>Done</v>
      </c>
      <c r="P143" t="str">
        <f t="shared" si="7"/>
        <v>U1300 R6.4 - NIC3 - Meter supply contactor - Remote Lockout</v>
      </c>
    </row>
    <row r="144" spans="1:16" ht="15.75" hidden="1" thickBot="1" x14ac:dyDescent="0.3">
      <c r="A144" s="52">
        <v>68</v>
      </c>
      <c r="B144" s="53" t="s">
        <v>58</v>
      </c>
      <c r="C144" s="54" t="s">
        <v>241</v>
      </c>
      <c r="D144" s="53" t="s">
        <v>247</v>
      </c>
      <c r="E144" s="54" t="s">
        <v>113</v>
      </c>
      <c r="F144" s="53" t="s">
        <v>61</v>
      </c>
      <c r="G144" s="55"/>
      <c r="H144" s="56">
        <v>45568</v>
      </c>
      <c r="I144" s="57">
        <v>0.6946296296296296</v>
      </c>
      <c r="J144" s="53" t="s">
        <v>69</v>
      </c>
      <c r="K144" s="54" t="s">
        <v>69</v>
      </c>
      <c r="L144" s="53" t="s">
        <v>242</v>
      </c>
      <c r="M144" s="58" t="s">
        <v>64</v>
      </c>
      <c r="N144" t="str">
        <f t="shared" si="9"/>
        <v>Executed</v>
      </c>
      <c r="O144" t="str">
        <f t="shared" si="8"/>
        <v>Done</v>
      </c>
      <c r="P144" t="str">
        <f t="shared" si="7"/>
        <v>U1300 R6.4 - NIC3 - Meter supply contactor connect disconnect - local</v>
      </c>
    </row>
    <row r="145" spans="1:16" ht="15.75" hidden="1" thickBot="1" x14ac:dyDescent="0.3">
      <c r="A145" s="52">
        <v>67</v>
      </c>
      <c r="B145" s="53" t="s">
        <v>58</v>
      </c>
      <c r="C145" s="54" t="s">
        <v>241</v>
      </c>
      <c r="D145" s="53" t="s">
        <v>247</v>
      </c>
      <c r="E145" s="54" t="s">
        <v>114</v>
      </c>
      <c r="F145" s="53" t="s">
        <v>61</v>
      </c>
      <c r="G145" s="55"/>
      <c r="H145" s="56">
        <v>45568</v>
      </c>
      <c r="I145" s="57">
        <v>0.63814814814814813</v>
      </c>
      <c r="J145" s="53" t="s">
        <v>69</v>
      </c>
      <c r="K145" s="54" t="s">
        <v>69</v>
      </c>
      <c r="L145" s="53" t="s">
        <v>242</v>
      </c>
      <c r="M145" s="58" t="s">
        <v>64</v>
      </c>
      <c r="N145" t="str">
        <f t="shared" si="9"/>
        <v>Executed</v>
      </c>
      <c r="O145" t="str">
        <f t="shared" si="8"/>
        <v>Done</v>
      </c>
      <c r="P145" t="str">
        <f t="shared" si="7"/>
        <v>U1300 R6.4 - NIC3 - Meter supply contactor connect disconnect - remote</v>
      </c>
    </row>
    <row r="146" spans="1:16" ht="15.75" hidden="1" thickBot="1" x14ac:dyDescent="0.3">
      <c r="A146" s="52">
        <v>144</v>
      </c>
      <c r="B146" s="53" t="s">
        <v>58</v>
      </c>
      <c r="C146" s="54" t="s">
        <v>237</v>
      </c>
      <c r="D146" s="53" t="s">
        <v>247</v>
      </c>
      <c r="E146" s="54" t="s">
        <v>110</v>
      </c>
      <c r="F146" s="53" t="s">
        <v>91</v>
      </c>
      <c r="G146" s="55"/>
      <c r="H146" s="56">
        <v>45572</v>
      </c>
      <c r="I146" s="57">
        <v>0.66987268518518517</v>
      </c>
      <c r="J146" s="53" t="s">
        <v>111</v>
      </c>
      <c r="K146" s="54" t="s">
        <v>111</v>
      </c>
      <c r="L146" s="53" t="s">
        <v>238</v>
      </c>
      <c r="M146" s="58" t="s">
        <v>63</v>
      </c>
      <c r="N146" t="str">
        <f t="shared" si="9"/>
        <v>No Run</v>
      </c>
      <c r="O146" t="str">
        <f t="shared" si="8"/>
        <v>N/A</v>
      </c>
      <c r="P146" t="str">
        <f t="shared" si="7"/>
        <v>U3400 R6.4 - NIC5 - Meter supply contactor - Arm Remotely</v>
      </c>
    </row>
    <row r="147" spans="1:16" ht="15.75" hidden="1" thickBot="1" x14ac:dyDescent="0.3">
      <c r="A147" s="52">
        <v>69</v>
      </c>
      <c r="B147" s="53" t="s">
        <v>58</v>
      </c>
      <c r="C147" s="54" t="s">
        <v>237</v>
      </c>
      <c r="D147" s="53" t="s">
        <v>247</v>
      </c>
      <c r="E147" s="54" t="s">
        <v>112</v>
      </c>
      <c r="F147" s="53" t="s">
        <v>61</v>
      </c>
      <c r="G147" s="55"/>
      <c r="H147" s="56">
        <v>45565</v>
      </c>
      <c r="I147" s="57">
        <v>0.67726851851851855</v>
      </c>
      <c r="J147" s="53" t="s">
        <v>69</v>
      </c>
      <c r="K147" s="54" t="s">
        <v>69</v>
      </c>
      <c r="L147" s="53" t="s">
        <v>238</v>
      </c>
      <c r="M147" s="58" t="s">
        <v>63</v>
      </c>
      <c r="N147" t="str">
        <f t="shared" si="9"/>
        <v>Executed</v>
      </c>
      <c r="O147" t="str">
        <f t="shared" si="8"/>
        <v>Done</v>
      </c>
      <c r="P147" t="str">
        <f t="shared" si="7"/>
        <v>U3400 R6.4 - NIC5 - Meter supply contactor - Remote Lockout</v>
      </c>
    </row>
    <row r="148" spans="1:16" ht="15.75" hidden="1" thickBot="1" x14ac:dyDescent="0.3">
      <c r="A148" s="52">
        <v>68</v>
      </c>
      <c r="B148" s="53" t="s">
        <v>58</v>
      </c>
      <c r="C148" s="54" t="s">
        <v>237</v>
      </c>
      <c r="D148" s="53" t="s">
        <v>247</v>
      </c>
      <c r="E148" s="54" t="s">
        <v>113</v>
      </c>
      <c r="F148" s="53" t="s">
        <v>61</v>
      </c>
      <c r="G148" s="55"/>
      <c r="H148" s="56">
        <v>45565</v>
      </c>
      <c r="I148" s="57">
        <v>0.71640046296296289</v>
      </c>
      <c r="J148" s="53" t="s">
        <v>69</v>
      </c>
      <c r="K148" s="54" t="s">
        <v>69</v>
      </c>
      <c r="L148" s="53" t="s">
        <v>238</v>
      </c>
      <c r="M148" s="58" t="s">
        <v>63</v>
      </c>
      <c r="N148" t="str">
        <f t="shared" si="9"/>
        <v>Executed</v>
      </c>
      <c r="O148" t="str">
        <f t="shared" si="8"/>
        <v>Done</v>
      </c>
      <c r="P148" t="str">
        <f t="shared" si="7"/>
        <v>U3400 R6.4 - NIC5 - Meter supply contactor connect disconnect - local</v>
      </c>
    </row>
    <row r="149" spans="1:16" ht="15.75" hidden="1" thickBot="1" x14ac:dyDescent="0.3">
      <c r="A149" s="52">
        <v>67</v>
      </c>
      <c r="B149" s="53" t="s">
        <v>58</v>
      </c>
      <c r="C149" s="54" t="s">
        <v>237</v>
      </c>
      <c r="D149" s="53" t="s">
        <v>247</v>
      </c>
      <c r="E149" s="54" t="s">
        <v>114</v>
      </c>
      <c r="F149" s="53" t="s">
        <v>61</v>
      </c>
      <c r="G149" s="55"/>
      <c r="H149" s="56">
        <v>45565</v>
      </c>
      <c r="I149" s="57">
        <v>0.72841435185185188</v>
      </c>
      <c r="J149" s="53" t="s">
        <v>69</v>
      </c>
      <c r="K149" s="54" t="s">
        <v>69</v>
      </c>
      <c r="L149" s="53" t="s">
        <v>238</v>
      </c>
      <c r="M149" s="58" t="s">
        <v>63</v>
      </c>
      <c r="N149" t="str">
        <f t="shared" si="9"/>
        <v>Executed</v>
      </c>
      <c r="O149" t="str">
        <f t="shared" si="8"/>
        <v>Done</v>
      </c>
      <c r="P149" t="str">
        <f t="shared" si="7"/>
        <v>U3400 R6.4 - NIC5 - Meter supply contactor connect disconnect - remote</v>
      </c>
    </row>
    <row r="150" spans="1:16" ht="15.75" hidden="1" thickBot="1" x14ac:dyDescent="0.3">
      <c r="A150" s="52">
        <v>144</v>
      </c>
      <c r="B150" s="53" t="s">
        <v>58</v>
      </c>
      <c r="C150" s="54" t="s">
        <v>240</v>
      </c>
      <c r="D150" s="53" t="s">
        <v>247</v>
      </c>
      <c r="E150" s="54" t="s">
        <v>110</v>
      </c>
      <c r="F150" s="53" t="s">
        <v>91</v>
      </c>
      <c r="G150" s="55" t="s">
        <v>115</v>
      </c>
      <c r="H150" s="56">
        <v>45580</v>
      </c>
      <c r="I150" s="57">
        <v>0.4959837962962963</v>
      </c>
      <c r="J150" s="53" t="s">
        <v>111</v>
      </c>
      <c r="K150" s="54" t="s">
        <v>111</v>
      </c>
      <c r="L150" s="53" t="s">
        <v>242</v>
      </c>
      <c r="M150" s="58" t="s">
        <v>64</v>
      </c>
      <c r="N150" t="str">
        <f t="shared" si="9"/>
        <v>No Run</v>
      </c>
      <c r="O150" t="str">
        <f t="shared" si="8"/>
        <v>N/A</v>
      </c>
      <c r="P150" t="str">
        <f t="shared" si="7"/>
        <v>U1300 R6.4 - NIC5 - Meter supply contactor - Arm Remotely</v>
      </c>
    </row>
    <row r="151" spans="1:16" ht="15.75" hidden="1" thickBot="1" x14ac:dyDescent="0.3">
      <c r="A151" s="52">
        <v>69</v>
      </c>
      <c r="B151" s="53" t="s">
        <v>58</v>
      </c>
      <c r="C151" s="54" t="s">
        <v>240</v>
      </c>
      <c r="D151" s="53" t="s">
        <v>247</v>
      </c>
      <c r="E151" s="54" t="s">
        <v>112</v>
      </c>
      <c r="F151" s="53" t="s">
        <v>61</v>
      </c>
      <c r="G151" s="55"/>
      <c r="H151" s="56">
        <v>45572</v>
      </c>
      <c r="I151" s="57">
        <v>0.63121527777777775</v>
      </c>
      <c r="J151" s="53" t="s">
        <v>69</v>
      </c>
      <c r="K151" s="54" t="s">
        <v>69</v>
      </c>
      <c r="L151" s="53" t="s">
        <v>242</v>
      </c>
      <c r="M151" s="58" t="s">
        <v>64</v>
      </c>
      <c r="N151" t="str">
        <f t="shared" si="9"/>
        <v>Executed</v>
      </c>
      <c r="O151" t="str">
        <f t="shared" si="8"/>
        <v>Done</v>
      </c>
      <c r="P151" t="str">
        <f t="shared" si="7"/>
        <v>U1300 R6.4 - NIC5 - Meter supply contactor - Remote Lockout</v>
      </c>
    </row>
    <row r="152" spans="1:16" ht="15.75" hidden="1" thickBot="1" x14ac:dyDescent="0.3">
      <c r="A152" s="52">
        <v>68</v>
      </c>
      <c r="B152" s="53" t="s">
        <v>58</v>
      </c>
      <c r="C152" s="54" t="s">
        <v>240</v>
      </c>
      <c r="D152" s="53" t="s">
        <v>247</v>
      </c>
      <c r="E152" s="54" t="s">
        <v>113</v>
      </c>
      <c r="F152" s="53" t="s">
        <v>61</v>
      </c>
      <c r="G152" s="55"/>
      <c r="H152" s="56">
        <v>45568</v>
      </c>
      <c r="I152" s="57">
        <v>0.69677083333333334</v>
      </c>
      <c r="J152" s="53" t="s">
        <v>69</v>
      </c>
      <c r="K152" s="54" t="s">
        <v>69</v>
      </c>
      <c r="L152" s="53" t="s">
        <v>242</v>
      </c>
      <c r="M152" s="58" t="s">
        <v>64</v>
      </c>
      <c r="N152" t="str">
        <f t="shared" si="9"/>
        <v>Executed</v>
      </c>
      <c r="O152" t="str">
        <f t="shared" si="8"/>
        <v>Done</v>
      </c>
      <c r="P152" t="str">
        <f t="shared" si="7"/>
        <v>U1300 R6.4 - NIC5 - Meter supply contactor connect disconnect - local</v>
      </c>
    </row>
    <row r="153" spans="1:16" ht="15.75" hidden="1" thickBot="1" x14ac:dyDescent="0.3">
      <c r="A153" s="52">
        <v>67</v>
      </c>
      <c r="B153" s="53" t="s">
        <v>58</v>
      </c>
      <c r="C153" s="54" t="s">
        <v>240</v>
      </c>
      <c r="D153" s="53" t="s">
        <v>247</v>
      </c>
      <c r="E153" s="54" t="s">
        <v>114</v>
      </c>
      <c r="F153" s="53" t="s">
        <v>61</v>
      </c>
      <c r="G153" s="55"/>
      <c r="H153" s="56">
        <v>45568</v>
      </c>
      <c r="I153" s="57">
        <v>0.64192129629629624</v>
      </c>
      <c r="J153" s="53" t="s">
        <v>69</v>
      </c>
      <c r="K153" s="54" t="s">
        <v>69</v>
      </c>
      <c r="L153" s="53" t="s">
        <v>242</v>
      </c>
      <c r="M153" s="58" t="s">
        <v>64</v>
      </c>
      <c r="N153" t="str">
        <f t="shared" si="9"/>
        <v>Executed</v>
      </c>
      <c r="O153" t="str">
        <f t="shared" si="8"/>
        <v>Done</v>
      </c>
      <c r="P153" t="str">
        <f t="shared" si="7"/>
        <v>U1300 R6.4 - NIC5 - Meter supply contactor connect disconnect - remote</v>
      </c>
    </row>
    <row r="154" spans="1:16" ht="15.75" hidden="1" thickBot="1" x14ac:dyDescent="0.3">
      <c r="A154" s="52">
        <v>71</v>
      </c>
      <c r="B154" s="53" t="s">
        <v>58</v>
      </c>
      <c r="C154" s="54" t="s">
        <v>239</v>
      </c>
      <c r="D154" s="53" t="s">
        <v>116</v>
      </c>
      <c r="E154" s="54" t="s">
        <v>117</v>
      </c>
      <c r="F154" s="53" t="s">
        <v>61</v>
      </c>
      <c r="G154" s="55"/>
      <c r="H154" s="56">
        <v>45566</v>
      </c>
      <c r="I154" s="57">
        <v>0.42156250000000001</v>
      </c>
      <c r="J154" s="53" t="s">
        <v>69</v>
      </c>
      <c r="K154" s="54" t="s">
        <v>69</v>
      </c>
      <c r="L154" s="53" t="s">
        <v>238</v>
      </c>
      <c r="M154" s="58" t="s">
        <v>63</v>
      </c>
      <c r="N154" t="str">
        <f t="shared" si="9"/>
        <v>Executed</v>
      </c>
      <c r="O154" t="str">
        <f t="shared" si="8"/>
        <v>Done</v>
      </c>
      <c r="P154" t="str">
        <f t="shared" si="7"/>
        <v>U3400 R6.4 - NIC3 - Auto-Disconnect - Disabled</v>
      </c>
    </row>
    <row r="155" spans="1:16" ht="15.75" hidden="1" thickBot="1" x14ac:dyDescent="0.3">
      <c r="A155" s="52">
        <v>70</v>
      </c>
      <c r="B155" s="53" t="s">
        <v>58</v>
      </c>
      <c r="C155" s="54" t="s">
        <v>239</v>
      </c>
      <c r="D155" s="53" t="s">
        <v>116</v>
      </c>
      <c r="E155" s="54" t="s">
        <v>118</v>
      </c>
      <c r="F155" s="53" t="s">
        <v>61</v>
      </c>
      <c r="G155" s="55"/>
      <c r="H155" s="56">
        <v>45566</v>
      </c>
      <c r="I155" s="57">
        <v>0.50929398148148153</v>
      </c>
      <c r="J155" s="53" t="s">
        <v>69</v>
      </c>
      <c r="K155" s="54" t="s">
        <v>69</v>
      </c>
      <c r="L155" s="53" t="s">
        <v>238</v>
      </c>
      <c r="M155" s="58" t="s">
        <v>63</v>
      </c>
      <c r="N155" t="str">
        <f t="shared" si="9"/>
        <v>Executed</v>
      </c>
      <c r="O155" t="str">
        <f t="shared" si="8"/>
        <v>Done</v>
      </c>
      <c r="P155" t="str">
        <f t="shared" si="7"/>
        <v>U3400 R6.4 - NIC3 - Auto-Disconnect - Enabled</v>
      </c>
    </row>
    <row r="156" spans="1:16" ht="15.75" hidden="1" thickBot="1" x14ac:dyDescent="0.3">
      <c r="A156" s="52">
        <v>185</v>
      </c>
      <c r="B156" s="53" t="s">
        <v>58</v>
      </c>
      <c r="C156" s="54" t="s">
        <v>239</v>
      </c>
      <c r="D156" s="53" t="s">
        <v>116</v>
      </c>
      <c r="E156" s="54" t="s">
        <v>119</v>
      </c>
      <c r="F156" s="53" t="s">
        <v>68</v>
      </c>
      <c r="G156" s="55"/>
      <c r="H156" s="56">
        <v>45566</v>
      </c>
      <c r="I156" s="57">
        <v>0.54050925925925919</v>
      </c>
      <c r="J156" s="53" t="s">
        <v>69</v>
      </c>
      <c r="K156" s="54" t="s">
        <v>69</v>
      </c>
      <c r="L156" s="53" t="s">
        <v>238</v>
      </c>
      <c r="M156" s="58" t="s">
        <v>63</v>
      </c>
      <c r="N156" t="str">
        <f t="shared" si="9"/>
        <v>Executed</v>
      </c>
      <c r="O156" t="str">
        <f t="shared" si="8"/>
        <v>Done</v>
      </c>
      <c r="P156" t="str">
        <f t="shared" si="7"/>
        <v>U3400 R6.4 - NIC3 - Auto-Disconnect - Override For NAP (L+G)</v>
      </c>
    </row>
    <row r="157" spans="1:16" ht="15.75" hidden="1" thickBot="1" x14ac:dyDescent="0.3">
      <c r="A157" s="52">
        <v>89</v>
      </c>
      <c r="B157" s="53" t="s">
        <v>58</v>
      </c>
      <c r="C157" s="54" t="s">
        <v>239</v>
      </c>
      <c r="D157" s="53" t="s">
        <v>116</v>
      </c>
      <c r="E157" s="54" t="s">
        <v>120</v>
      </c>
      <c r="F157" s="53" t="s">
        <v>121</v>
      </c>
      <c r="G157" s="55"/>
      <c r="H157" s="56">
        <v>45566</v>
      </c>
      <c r="I157" s="57">
        <v>0.55692129629629628</v>
      </c>
      <c r="J157" s="53" t="s">
        <v>69</v>
      </c>
      <c r="K157" s="54" t="s">
        <v>69</v>
      </c>
      <c r="L157" s="53" t="s">
        <v>238</v>
      </c>
      <c r="M157" s="58" t="s">
        <v>63</v>
      </c>
      <c r="N157" t="str">
        <f t="shared" si="9"/>
        <v>Executed</v>
      </c>
      <c r="O157" t="str">
        <f t="shared" si="8"/>
        <v>Done</v>
      </c>
      <c r="P157" t="str">
        <f t="shared" si="7"/>
        <v>U3400 R6.4 - NIC3 - Auto-Disconnect - Remote Lockout</v>
      </c>
    </row>
    <row r="158" spans="1:16" ht="15.75" hidden="1" thickBot="1" x14ac:dyDescent="0.3">
      <c r="A158" s="52">
        <v>71</v>
      </c>
      <c r="B158" s="53" t="s">
        <v>58</v>
      </c>
      <c r="C158" s="54" t="s">
        <v>241</v>
      </c>
      <c r="D158" s="53" t="s">
        <v>116</v>
      </c>
      <c r="E158" s="54" t="s">
        <v>117</v>
      </c>
      <c r="F158" s="53" t="s">
        <v>61</v>
      </c>
      <c r="G158" s="55"/>
      <c r="H158" s="56">
        <v>45569</v>
      </c>
      <c r="I158" s="57">
        <v>0.40100694444444446</v>
      </c>
      <c r="J158" s="53" t="s">
        <v>69</v>
      </c>
      <c r="K158" s="54" t="s">
        <v>69</v>
      </c>
      <c r="L158" s="53" t="s">
        <v>242</v>
      </c>
      <c r="M158" s="58" t="s">
        <v>64</v>
      </c>
      <c r="N158" t="str">
        <f t="shared" si="9"/>
        <v>Executed</v>
      </c>
      <c r="O158" t="str">
        <f t="shared" si="8"/>
        <v>Done</v>
      </c>
      <c r="P158" t="str">
        <f t="shared" si="7"/>
        <v>U1300 R6.4 - NIC3 - Auto-Disconnect - Disabled</v>
      </c>
    </row>
    <row r="159" spans="1:16" ht="15.75" hidden="1" thickBot="1" x14ac:dyDescent="0.3">
      <c r="A159" s="52">
        <v>70</v>
      </c>
      <c r="B159" s="53" t="s">
        <v>58</v>
      </c>
      <c r="C159" s="54" t="s">
        <v>241</v>
      </c>
      <c r="D159" s="53" t="s">
        <v>116</v>
      </c>
      <c r="E159" s="54" t="s">
        <v>118</v>
      </c>
      <c r="F159" s="53" t="s">
        <v>61</v>
      </c>
      <c r="G159" s="55"/>
      <c r="H159" s="56">
        <v>45569</v>
      </c>
      <c r="I159" s="57">
        <v>0.37266203703703704</v>
      </c>
      <c r="J159" s="53" t="s">
        <v>69</v>
      </c>
      <c r="K159" s="54" t="s">
        <v>69</v>
      </c>
      <c r="L159" s="53" t="s">
        <v>242</v>
      </c>
      <c r="M159" s="58" t="s">
        <v>64</v>
      </c>
      <c r="N159" t="str">
        <f t="shared" si="9"/>
        <v>Executed</v>
      </c>
      <c r="O159" t="str">
        <f t="shared" si="8"/>
        <v>Done</v>
      </c>
      <c r="P159" t="str">
        <f t="shared" si="7"/>
        <v>U1300 R6.4 - NIC3 - Auto-Disconnect - Enabled</v>
      </c>
    </row>
    <row r="160" spans="1:16" ht="15.75" hidden="1" thickBot="1" x14ac:dyDescent="0.3">
      <c r="A160" s="52">
        <v>185</v>
      </c>
      <c r="B160" s="53" t="s">
        <v>58</v>
      </c>
      <c r="C160" s="54" t="s">
        <v>241</v>
      </c>
      <c r="D160" s="53" t="s">
        <v>116</v>
      </c>
      <c r="E160" s="54" t="s">
        <v>119</v>
      </c>
      <c r="F160" s="53" t="s">
        <v>68</v>
      </c>
      <c r="G160" s="55"/>
      <c r="H160" s="56">
        <v>45569</v>
      </c>
      <c r="I160" s="57">
        <v>0.45151620370370371</v>
      </c>
      <c r="J160" s="53" t="s">
        <v>69</v>
      </c>
      <c r="K160" s="54" t="s">
        <v>69</v>
      </c>
      <c r="L160" s="53" t="s">
        <v>242</v>
      </c>
      <c r="M160" s="58" t="s">
        <v>64</v>
      </c>
      <c r="N160" t="str">
        <f t="shared" si="9"/>
        <v>Executed</v>
      </c>
      <c r="O160" t="str">
        <f t="shared" si="8"/>
        <v>Done</v>
      </c>
      <c r="P160" t="str">
        <f t="shared" si="7"/>
        <v>U1300 R6.4 - NIC3 - Auto-Disconnect - Override For NAP (L+G)</v>
      </c>
    </row>
    <row r="161" spans="1:16" ht="15.75" hidden="1" thickBot="1" x14ac:dyDescent="0.3">
      <c r="A161" s="52">
        <v>89</v>
      </c>
      <c r="B161" s="53" t="s">
        <v>58</v>
      </c>
      <c r="C161" s="54" t="s">
        <v>241</v>
      </c>
      <c r="D161" s="53" t="s">
        <v>116</v>
      </c>
      <c r="E161" s="54" t="s">
        <v>120</v>
      </c>
      <c r="F161" s="53" t="s">
        <v>121</v>
      </c>
      <c r="G161" s="55"/>
      <c r="H161" s="56">
        <v>45569</v>
      </c>
      <c r="I161" s="57">
        <v>0.46083333333333337</v>
      </c>
      <c r="J161" s="53" t="s">
        <v>69</v>
      </c>
      <c r="K161" s="54" t="s">
        <v>69</v>
      </c>
      <c r="L161" s="53" t="s">
        <v>242</v>
      </c>
      <c r="M161" s="58" t="s">
        <v>64</v>
      </c>
      <c r="N161" t="str">
        <f t="shared" si="9"/>
        <v>Executed</v>
      </c>
      <c r="O161" t="str">
        <f t="shared" si="8"/>
        <v>Done</v>
      </c>
      <c r="P161" t="str">
        <f t="shared" si="7"/>
        <v>U1300 R6.4 - NIC3 - Auto-Disconnect - Remote Lockout</v>
      </c>
    </row>
    <row r="162" spans="1:16" ht="15.75" hidden="1" thickBot="1" x14ac:dyDescent="0.3">
      <c r="A162" s="52">
        <v>71</v>
      </c>
      <c r="B162" s="53" t="s">
        <v>58</v>
      </c>
      <c r="C162" s="54" t="s">
        <v>237</v>
      </c>
      <c r="D162" s="53" t="s">
        <v>116</v>
      </c>
      <c r="E162" s="54" t="s">
        <v>117</v>
      </c>
      <c r="F162" s="53" t="s">
        <v>61</v>
      </c>
      <c r="G162" s="55"/>
      <c r="H162" s="56">
        <v>45566</v>
      </c>
      <c r="I162" s="57">
        <v>0.42152777777777778</v>
      </c>
      <c r="J162" s="53" t="s">
        <v>69</v>
      </c>
      <c r="K162" s="54" t="s">
        <v>69</v>
      </c>
      <c r="L162" s="53" t="s">
        <v>238</v>
      </c>
      <c r="M162" s="58" t="s">
        <v>63</v>
      </c>
      <c r="N162" t="str">
        <f t="shared" si="9"/>
        <v>Executed</v>
      </c>
      <c r="O162" t="str">
        <f t="shared" si="8"/>
        <v>Done</v>
      </c>
      <c r="P162" t="str">
        <f t="shared" si="7"/>
        <v>U3400 R6.4 - NIC5 - Auto-Disconnect - Disabled</v>
      </c>
    </row>
    <row r="163" spans="1:16" ht="15.75" hidden="1" thickBot="1" x14ac:dyDescent="0.3">
      <c r="A163" s="52">
        <v>70</v>
      </c>
      <c r="B163" s="53" t="s">
        <v>58</v>
      </c>
      <c r="C163" s="54" t="s">
        <v>237</v>
      </c>
      <c r="D163" s="53" t="s">
        <v>116</v>
      </c>
      <c r="E163" s="54" t="s">
        <v>118</v>
      </c>
      <c r="F163" s="53" t="s">
        <v>61</v>
      </c>
      <c r="G163" s="55"/>
      <c r="H163" s="56">
        <v>45566</v>
      </c>
      <c r="I163" s="57">
        <v>0.54077546296296297</v>
      </c>
      <c r="J163" s="53" t="s">
        <v>69</v>
      </c>
      <c r="K163" s="54" t="s">
        <v>69</v>
      </c>
      <c r="L163" s="53" t="s">
        <v>238</v>
      </c>
      <c r="M163" s="58" t="s">
        <v>63</v>
      </c>
      <c r="N163" t="str">
        <f t="shared" si="9"/>
        <v>Executed</v>
      </c>
      <c r="O163" t="str">
        <f t="shared" si="8"/>
        <v>Done</v>
      </c>
      <c r="P163" t="str">
        <f t="shared" si="7"/>
        <v>U3400 R6.4 - NIC5 - Auto-Disconnect - Enabled</v>
      </c>
    </row>
    <row r="164" spans="1:16" ht="15.75" hidden="1" thickBot="1" x14ac:dyDescent="0.3">
      <c r="A164" s="52">
        <v>185</v>
      </c>
      <c r="B164" s="53" t="s">
        <v>58</v>
      </c>
      <c r="C164" s="54" t="s">
        <v>237</v>
      </c>
      <c r="D164" s="53" t="s">
        <v>116</v>
      </c>
      <c r="E164" s="54" t="s">
        <v>119</v>
      </c>
      <c r="F164" s="53" t="s">
        <v>68</v>
      </c>
      <c r="G164" s="55"/>
      <c r="H164" s="56">
        <v>45566</v>
      </c>
      <c r="I164" s="57">
        <v>0.54053240740740738</v>
      </c>
      <c r="J164" s="53" t="s">
        <v>69</v>
      </c>
      <c r="K164" s="54" t="s">
        <v>69</v>
      </c>
      <c r="L164" s="53" t="s">
        <v>238</v>
      </c>
      <c r="M164" s="58" t="s">
        <v>63</v>
      </c>
      <c r="N164" t="str">
        <f t="shared" si="9"/>
        <v>Executed</v>
      </c>
      <c r="O164" t="str">
        <f t="shared" si="8"/>
        <v>Done</v>
      </c>
      <c r="P164" t="str">
        <f t="shared" si="7"/>
        <v>U3400 R6.4 - NIC5 - Auto-Disconnect - Override For NAP (L+G)</v>
      </c>
    </row>
    <row r="165" spans="1:16" ht="15.75" hidden="1" thickBot="1" x14ac:dyDescent="0.3">
      <c r="A165" s="52">
        <v>89</v>
      </c>
      <c r="B165" s="53" t="s">
        <v>58</v>
      </c>
      <c r="C165" s="54" t="s">
        <v>237</v>
      </c>
      <c r="D165" s="53" t="s">
        <v>116</v>
      </c>
      <c r="E165" s="54" t="s">
        <v>120</v>
      </c>
      <c r="F165" s="53" t="s">
        <v>121</v>
      </c>
      <c r="G165" s="55"/>
      <c r="H165" s="56">
        <v>45566</v>
      </c>
      <c r="I165" s="57">
        <v>0.55684027777777778</v>
      </c>
      <c r="J165" s="53" t="s">
        <v>69</v>
      </c>
      <c r="K165" s="54" t="s">
        <v>69</v>
      </c>
      <c r="L165" s="53" t="s">
        <v>238</v>
      </c>
      <c r="M165" s="58" t="s">
        <v>63</v>
      </c>
      <c r="N165" t="str">
        <f t="shared" si="9"/>
        <v>Executed</v>
      </c>
      <c r="O165" t="str">
        <f t="shared" si="8"/>
        <v>Done</v>
      </c>
      <c r="P165" t="str">
        <f t="shared" si="7"/>
        <v>U3400 R6.4 - NIC5 - Auto-Disconnect - Remote Lockout</v>
      </c>
    </row>
    <row r="166" spans="1:16" ht="15.75" hidden="1" thickBot="1" x14ac:dyDescent="0.3">
      <c r="A166" s="52">
        <v>71</v>
      </c>
      <c r="B166" s="53" t="s">
        <v>58</v>
      </c>
      <c r="C166" s="54" t="s">
        <v>240</v>
      </c>
      <c r="D166" s="53" t="s">
        <v>116</v>
      </c>
      <c r="E166" s="54" t="s">
        <v>117</v>
      </c>
      <c r="F166" s="53" t="s">
        <v>61</v>
      </c>
      <c r="G166" s="55"/>
      <c r="H166" s="56">
        <v>45569</v>
      </c>
      <c r="I166" s="57">
        <v>0.40543981481481484</v>
      </c>
      <c r="J166" s="53" t="s">
        <v>69</v>
      </c>
      <c r="K166" s="54" t="s">
        <v>69</v>
      </c>
      <c r="L166" s="53" t="s">
        <v>242</v>
      </c>
      <c r="M166" s="58" t="s">
        <v>64</v>
      </c>
      <c r="N166" t="str">
        <f t="shared" si="9"/>
        <v>Executed</v>
      </c>
      <c r="O166" t="str">
        <f t="shared" si="8"/>
        <v>Done</v>
      </c>
      <c r="P166" t="str">
        <f t="shared" si="7"/>
        <v>U1300 R6.4 - NIC5 - Auto-Disconnect - Disabled</v>
      </c>
    </row>
    <row r="167" spans="1:16" ht="15.75" hidden="1" thickBot="1" x14ac:dyDescent="0.3">
      <c r="A167" s="52">
        <v>70</v>
      </c>
      <c r="B167" s="53" t="s">
        <v>58</v>
      </c>
      <c r="C167" s="54" t="s">
        <v>240</v>
      </c>
      <c r="D167" s="53" t="s">
        <v>116</v>
      </c>
      <c r="E167" s="54" t="s">
        <v>118</v>
      </c>
      <c r="F167" s="53" t="s">
        <v>61</v>
      </c>
      <c r="G167" s="55"/>
      <c r="H167" s="56">
        <v>45569</v>
      </c>
      <c r="I167" s="57">
        <v>0.37393518518518515</v>
      </c>
      <c r="J167" s="53" t="s">
        <v>69</v>
      </c>
      <c r="K167" s="54" t="s">
        <v>69</v>
      </c>
      <c r="L167" s="53" t="s">
        <v>242</v>
      </c>
      <c r="M167" s="58" t="s">
        <v>64</v>
      </c>
      <c r="N167" t="str">
        <f t="shared" si="9"/>
        <v>Executed</v>
      </c>
      <c r="O167" t="str">
        <f t="shared" si="8"/>
        <v>Done</v>
      </c>
      <c r="P167" t="str">
        <f t="shared" si="7"/>
        <v>U1300 R6.4 - NIC5 - Auto-Disconnect - Enabled</v>
      </c>
    </row>
    <row r="168" spans="1:16" ht="15.75" hidden="1" thickBot="1" x14ac:dyDescent="0.3">
      <c r="A168" s="52">
        <v>185</v>
      </c>
      <c r="B168" s="53" t="s">
        <v>58</v>
      </c>
      <c r="C168" s="54" t="s">
        <v>240</v>
      </c>
      <c r="D168" s="53" t="s">
        <v>116</v>
      </c>
      <c r="E168" s="54" t="s">
        <v>119</v>
      </c>
      <c r="F168" s="53" t="s">
        <v>68</v>
      </c>
      <c r="G168" s="55"/>
      <c r="H168" s="56">
        <v>45569</v>
      </c>
      <c r="I168" s="57">
        <v>0.4516087962962963</v>
      </c>
      <c r="J168" s="53" t="s">
        <v>69</v>
      </c>
      <c r="K168" s="54" t="s">
        <v>69</v>
      </c>
      <c r="L168" s="53" t="s">
        <v>242</v>
      </c>
      <c r="M168" s="58" t="s">
        <v>64</v>
      </c>
      <c r="N168" t="str">
        <f t="shared" si="9"/>
        <v>Executed</v>
      </c>
      <c r="O168" t="str">
        <f t="shared" si="8"/>
        <v>Done</v>
      </c>
      <c r="P168" t="str">
        <f t="shared" si="7"/>
        <v>U1300 R6.4 - NIC5 - Auto-Disconnect - Override For NAP (L+G)</v>
      </c>
    </row>
    <row r="169" spans="1:16" ht="15.75" hidden="1" thickBot="1" x14ac:dyDescent="0.3">
      <c r="A169" s="52">
        <v>89</v>
      </c>
      <c r="B169" s="53" t="s">
        <v>58</v>
      </c>
      <c r="C169" s="54" t="s">
        <v>240</v>
      </c>
      <c r="D169" s="53" t="s">
        <v>116</v>
      </c>
      <c r="E169" s="54" t="s">
        <v>120</v>
      </c>
      <c r="F169" s="53" t="s">
        <v>121</v>
      </c>
      <c r="G169" s="55"/>
      <c r="H169" s="56">
        <v>45569</v>
      </c>
      <c r="I169" s="57">
        <v>0.46532407407407406</v>
      </c>
      <c r="J169" s="53" t="s">
        <v>69</v>
      </c>
      <c r="K169" s="54" t="s">
        <v>69</v>
      </c>
      <c r="L169" s="53" t="s">
        <v>242</v>
      </c>
      <c r="M169" s="58" t="s">
        <v>64</v>
      </c>
      <c r="N169" t="str">
        <f t="shared" si="9"/>
        <v>Executed</v>
      </c>
      <c r="O169" t="str">
        <f t="shared" si="8"/>
        <v>Done</v>
      </c>
      <c r="P169" t="str">
        <f t="shared" si="7"/>
        <v>U1300 R6.4 - NIC5 - Auto-Disconnect - Remote Lockout</v>
      </c>
    </row>
    <row r="170" spans="1:16" ht="15.75" hidden="1" thickBot="1" x14ac:dyDescent="0.3">
      <c r="A170" s="52">
        <v>74</v>
      </c>
      <c r="B170" s="53" t="s">
        <v>58</v>
      </c>
      <c r="C170" s="54" t="s">
        <v>239</v>
      </c>
      <c r="D170" s="53" t="s">
        <v>248</v>
      </c>
      <c r="E170" s="54" t="s">
        <v>122</v>
      </c>
      <c r="F170" s="53" t="s">
        <v>61</v>
      </c>
      <c r="G170" s="55"/>
      <c r="H170" s="56">
        <v>45555</v>
      </c>
      <c r="I170" s="57">
        <v>0.41327546296296297</v>
      </c>
      <c r="J170" s="53" t="s">
        <v>69</v>
      </c>
      <c r="K170" s="54" t="s">
        <v>69</v>
      </c>
      <c r="L170" s="53" t="s">
        <v>238</v>
      </c>
      <c r="M170" s="58" t="s">
        <v>63</v>
      </c>
      <c r="N170" t="str">
        <f t="shared" si="9"/>
        <v>Executed</v>
      </c>
      <c r="O170" t="str">
        <f t="shared" si="8"/>
        <v>Done</v>
      </c>
      <c r="P170" t="str">
        <f t="shared" si="7"/>
        <v>U3400 R6.4 - NIC3 - Meter load contactor - remote override (close)</v>
      </c>
    </row>
    <row r="171" spans="1:16" ht="15.75" hidden="1" thickBot="1" x14ac:dyDescent="0.3">
      <c r="A171" s="52">
        <v>73</v>
      </c>
      <c r="B171" s="53" t="s">
        <v>58</v>
      </c>
      <c r="C171" s="54" t="s">
        <v>239</v>
      </c>
      <c r="D171" s="53" t="s">
        <v>248</v>
      </c>
      <c r="E171" s="54" t="s">
        <v>123</v>
      </c>
      <c r="F171" s="53" t="s">
        <v>61</v>
      </c>
      <c r="G171" s="55"/>
      <c r="H171" s="56">
        <v>45555</v>
      </c>
      <c r="I171" s="57">
        <v>0.46054398148148151</v>
      </c>
      <c r="J171" s="53" t="s">
        <v>78</v>
      </c>
      <c r="K171" s="54" t="s">
        <v>78</v>
      </c>
      <c r="L171" s="53" t="s">
        <v>238</v>
      </c>
      <c r="M171" s="58" t="s">
        <v>63</v>
      </c>
      <c r="N171" t="str">
        <f t="shared" si="9"/>
        <v>Executed</v>
      </c>
      <c r="O171" t="str">
        <f t="shared" si="8"/>
        <v>Done</v>
      </c>
      <c r="P171" t="str">
        <f t="shared" si="7"/>
        <v>U3400 R6.4 - NIC3 - Meter load contactor - remote override (open)</v>
      </c>
    </row>
    <row r="172" spans="1:16" ht="15.75" hidden="1" thickBot="1" x14ac:dyDescent="0.3">
      <c r="A172" s="52">
        <v>75</v>
      </c>
      <c r="B172" s="53" t="s">
        <v>58</v>
      </c>
      <c r="C172" s="54" t="s">
        <v>239</v>
      </c>
      <c r="D172" s="53" t="s">
        <v>248</v>
      </c>
      <c r="E172" s="54" t="s">
        <v>124</v>
      </c>
      <c r="F172" s="53" t="s">
        <v>61</v>
      </c>
      <c r="G172" s="55"/>
      <c r="H172" s="56">
        <v>45572</v>
      </c>
      <c r="I172" s="57">
        <v>0.43233796296296295</v>
      </c>
      <c r="J172" s="53" t="s">
        <v>69</v>
      </c>
      <c r="K172" s="54" t="s">
        <v>69</v>
      </c>
      <c r="L172" s="53" t="s">
        <v>238</v>
      </c>
      <c r="M172" s="58" t="s">
        <v>63</v>
      </c>
      <c r="N172" t="str">
        <f t="shared" si="9"/>
        <v>Executed</v>
      </c>
      <c r="O172" t="str">
        <f t="shared" si="8"/>
        <v>Done</v>
      </c>
      <c r="P172" t="str">
        <f t="shared" si="7"/>
        <v>U3400 R6.4 - NIC3 - Meter load contactor - switching schedule 5-on-5-off</v>
      </c>
    </row>
    <row r="173" spans="1:16" ht="15.75" hidden="1" thickBot="1" x14ac:dyDescent="0.3">
      <c r="A173" s="52">
        <v>122</v>
      </c>
      <c r="B173" s="53" t="s">
        <v>58</v>
      </c>
      <c r="C173" s="54" t="s">
        <v>239</v>
      </c>
      <c r="D173" s="53" t="s">
        <v>248</v>
      </c>
      <c r="E173" s="54" t="s">
        <v>125</v>
      </c>
      <c r="F173" s="53" t="s">
        <v>68</v>
      </c>
      <c r="G173" s="55"/>
      <c r="H173" s="56">
        <v>45568</v>
      </c>
      <c r="I173" s="57">
        <v>0.67945601851851845</v>
      </c>
      <c r="J173" s="53" t="s">
        <v>69</v>
      </c>
      <c r="K173" s="54" t="s">
        <v>69</v>
      </c>
      <c r="L173" s="53" t="s">
        <v>238</v>
      </c>
      <c r="M173" s="58" t="s">
        <v>63</v>
      </c>
      <c r="N173" t="str">
        <f t="shared" si="9"/>
        <v>Executed</v>
      </c>
      <c r="O173" t="str">
        <f t="shared" si="8"/>
        <v>Done</v>
      </c>
      <c r="P173" t="str">
        <f t="shared" si="7"/>
        <v>U3400 R6.4 - NIC3 - Boost Primacy - Boost time longer than LC override</v>
      </c>
    </row>
    <row r="174" spans="1:16" ht="15.75" hidden="1" thickBot="1" x14ac:dyDescent="0.3">
      <c r="A174" s="52">
        <v>123</v>
      </c>
      <c r="B174" s="53" t="s">
        <v>58</v>
      </c>
      <c r="C174" s="54" t="s">
        <v>239</v>
      </c>
      <c r="D174" s="53" t="s">
        <v>248</v>
      </c>
      <c r="E174" s="54" t="s">
        <v>126</v>
      </c>
      <c r="F174" s="53" t="s">
        <v>68</v>
      </c>
      <c r="G174" s="55"/>
      <c r="H174" s="56">
        <v>45555</v>
      </c>
      <c r="I174" s="57">
        <v>0.55583333333333329</v>
      </c>
      <c r="J174" s="53" t="s">
        <v>69</v>
      </c>
      <c r="K174" s="54" t="s">
        <v>69</v>
      </c>
      <c r="L174" s="53" t="s">
        <v>238</v>
      </c>
      <c r="M174" s="58" t="s">
        <v>63</v>
      </c>
      <c r="N174" t="str">
        <f t="shared" si="9"/>
        <v>Executed</v>
      </c>
      <c r="O174" t="str">
        <f t="shared" si="8"/>
        <v>Done</v>
      </c>
      <c r="P174" t="str">
        <f t="shared" si="7"/>
        <v>U3400 R6.4 - NIC3 - Boost Primacy - Disabled</v>
      </c>
    </row>
    <row r="175" spans="1:16" ht="15.75" hidden="1" thickBot="1" x14ac:dyDescent="0.3">
      <c r="A175" s="52">
        <v>1725</v>
      </c>
      <c r="B175" s="53" t="s">
        <v>58</v>
      </c>
      <c r="C175" s="54" t="s">
        <v>239</v>
      </c>
      <c r="D175" s="53" t="s">
        <v>248</v>
      </c>
      <c r="E175" s="54" t="s">
        <v>127</v>
      </c>
      <c r="F175" s="53" t="s">
        <v>68</v>
      </c>
      <c r="G175" s="55"/>
      <c r="H175" s="56">
        <v>45555</v>
      </c>
      <c r="I175" s="57">
        <v>0.62508101851851849</v>
      </c>
      <c r="J175" s="53" t="s">
        <v>78</v>
      </c>
      <c r="K175" s="54" t="s">
        <v>78</v>
      </c>
      <c r="L175" s="53" t="s">
        <v>238</v>
      </c>
      <c r="M175" s="58" t="s">
        <v>63</v>
      </c>
      <c r="N175" t="str">
        <f t="shared" si="9"/>
        <v>Executed</v>
      </c>
      <c r="O175" t="str">
        <f t="shared" si="8"/>
        <v>Done</v>
      </c>
      <c r="P175" t="str">
        <f t="shared" si="7"/>
        <v>U3400 R6.4 - NIC3 - Boost Primacy - Enable-Disable</v>
      </c>
    </row>
    <row r="176" spans="1:16" ht="15.75" hidden="1" thickBot="1" x14ac:dyDescent="0.3">
      <c r="A176" s="52">
        <v>90</v>
      </c>
      <c r="B176" s="53" t="s">
        <v>58</v>
      </c>
      <c r="C176" s="54" t="s">
        <v>239</v>
      </c>
      <c r="D176" s="53" t="s">
        <v>248</v>
      </c>
      <c r="E176" s="54" t="s">
        <v>128</v>
      </c>
      <c r="F176" s="53" t="s">
        <v>68</v>
      </c>
      <c r="G176" s="55"/>
      <c r="H176" s="56">
        <v>45559</v>
      </c>
      <c r="I176" s="57">
        <v>0.40156249999999999</v>
      </c>
      <c r="J176" s="53" t="s">
        <v>69</v>
      </c>
      <c r="K176" s="54" t="s">
        <v>69</v>
      </c>
      <c r="L176" s="53" t="s">
        <v>238</v>
      </c>
      <c r="M176" s="58" t="s">
        <v>63</v>
      </c>
      <c r="N176" t="str">
        <f t="shared" si="9"/>
        <v>Executed</v>
      </c>
      <c r="O176" t="str">
        <f t="shared" si="8"/>
        <v>Done</v>
      </c>
      <c r="P176" t="str">
        <f t="shared" si="7"/>
        <v>U3400 R6.4 - NIC3 - Boost operation - Disabled</v>
      </c>
    </row>
    <row r="177" spans="1:16" ht="15.75" hidden="1" thickBot="1" x14ac:dyDescent="0.3">
      <c r="A177" s="52">
        <v>76</v>
      </c>
      <c r="B177" s="53" t="s">
        <v>58</v>
      </c>
      <c r="C177" s="54" t="s">
        <v>239</v>
      </c>
      <c r="D177" s="53" t="s">
        <v>248</v>
      </c>
      <c r="E177" s="54" t="s">
        <v>129</v>
      </c>
      <c r="F177" s="53" t="s">
        <v>61</v>
      </c>
      <c r="G177" s="55"/>
      <c r="H177" s="56">
        <v>45559</v>
      </c>
      <c r="I177" s="57">
        <v>0.52537037037037038</v>
      </c>
      <c r="J177" s="53" t="s">
        <v>69</v>
      </c>
      <c r="K177" s="54" t="s">
        <v>69</v>
      </c>
      <c r="L177" s="53" t="s">
        <v>238</v>
      </c>
      <c r="M177" s="58" t="s">
        <v>63</v>
      </c>
      <c r="N177" t="str">
        <f t="shared" si="9"/>
        <v>Executed</v>
      </c>
      <c r="O177" t="str">
        <f t="shared" si="8"/>
        <v>Done</v>
      </c>
      <c r="P177" t="str">
        <f t="shared" si="7"/>
        <v>U3400 R6.4 - NIC3 - Boost operation - Enabled - Boost (Boost Duration) minutes</v>
      </c>
    </row>
    <row r="178" spans="1:16" ht="15.75" hidden="1" thickBot="1" x14ac:dyDescent="0.3">
      <c r="A178" s="52">
        <v>74</v>
      </c>
      <c r="B178" s="53" t="s">
        <v>58</v>
      </c>
      <c r="C178" s="54" t="s">
        <v>241</v>
      </c>
      <c r="D178" s="53" t="s">
        <v>248</v>
      </c>
      <c r="E178" s="54" t="s">
        <v>122</v>
      </c>
      <c r="F178" s="53" t="s">
        <v>61</v>
      </c>
      <c r="G178" s="55"/>
      <c r="H178" s="56">
        <v>45555</v>
      </c>
      <c r="I178" s="57">
        <v>0.59072916666666664</v>
      </c>
      <c r="J178" s="53" t="s">
        <v>69</v>
      </c>
      <c r="K178" s="54" t="s">
        <v>69</v>
      </c>
      <c r="L178" s="53" t="s">
        <v>242</v>
      </c>
      <c r="M178" s="58" t="s">
        <v>64</v>
      </c>
      <c r="N178" t="str">
        <f t="shared" si="9"/>
        <v>Executed</v>
      </c>
      <c r="O178" t="str">
        <f t="shared" si="8"/>
        <v>Done</v>
      </c>
      <c r="P178" t="str">
        <f t="shared" si="7"/>
        <v>U1300 R6.4 - NIC3 - Meter load contactor - remote override (close)</v>
      </c>
    </row>
    <row r="179" spans="1:16" ht="15.75" hidden="1" thickBot="1" x14ac:dyDescent="0.3">
      <c r="A179" s="52">
        <v>73</v>
      </c>
      <c r="B179" s="53" t="s">
        <v>58</v>
      </c>
      <c r="C179" s="54" t="s">
        <v>241</v>
      </c>
      <c r="D179" s="53" t="s">
        <v>248</v>
      </c>
      <c r="E179" s="54" t="s">
        <v>123</v>
      </c>
      <c r="F179" s="53" t="s">
        <v>61</v>
      </c>
      <c r="G179" s="55"/>
      <c r="H179" s="56">
        <v>45555</v>
      </c>
      <c r="I179" s="57">
        <v>0.61844907407407412</v>
      </c>
      <c r="J179" s="53" t="s">
        <v>78</v>
      </c>
      <c r="K179" s="54" t="s">
        <v>78</v>
      </c>
      <c r="L179" s="53" t="s">
        <v>242</v>
      </c>
      <c r="M179" s="58" t="s">
        <v>64</v>
      </c>
      <c r="N179" t="str">
        <f t="shared" si="9"/>
        <v>Executed</v>
      </c>
      <c r="O179" t="str">
        <f t="shared" si="8"/>
        <v>Done</v>
      </c>
      <c r="P179" t="str">
        <f t="shared" si="7"/>
        <v>U1300 R6.4 - NIC3 - Meter load contactor - remote override (open)</v>
      </c>
    </row>
    <row r="180" spans="1:16" ht="15.75" hidden="1" thickBot="1" x14ac:dyDescent="0.3">
      <c r="A180" s="52">
        <v>75</v>
      </c>
      <c r="B180" s="53" t="s">
        <v>58</v>
      </c>
      <c r="C180" s="54" t="s">
        <v>241</v>
      </c>
      <c r="D180" s="53" t="s">
        <v>248</v>
      </c>
      <c r="E180" s="54" t="s">
        <v>124</v>
      </c>
      <c r="F180" s="53" t="s">
        <v>61</v>
      </c>
      <c r="G180" s="55"/>
      <c r="H180" s="56">
        <v>45558</v>
      </c>
      <c r="I180" s="57">
        <v>0.37799768518518517</v>
      </c>
      <c r="J180" s="53" t="s">
        <v>69</v>
      </c>
      <c r="K180" s="54" t="s">
        <v>69</v>
      </c>
      <c r="L180" s="53" t="s">
        <v>242</v>
      </c>
      <c r="M180" s="58" t="s">
        <v>64</v>
      </c>
      <c r="N180" t="str">
        <f t="shared" si="9"/>
        <v>Executed</v>
      </c>
      <c r="O180" t="str">
        <f t="shared" si="8"/>
        <v>Done</v>
      </c>
      <c r="P180" t="str">
        <f t="shared" si="7"/>
        <v>U1300 R6.4 - NIC3 - Meter load contactor - switching schedule 5-on-5-off</v>
      </c>
    </row>
    <row r="181" spans="1:16" ht="15.75" hidden="1" thickBot="1" x14ac:dyDescent="0.3">
      <c r="A181" s="52">
        <v>122</v>
      </c>
      <c r="B181" s="53" t="s">
        <v>58</v>
      </c>
      <c r="C181" s="54" t="s">
        <v>241</v>
      </c>
      <c r="D181" s="53" t="s">
        <v>248</v>
      </c>
      <c r="E181" s="54" t="s">
        <v>125</v>
      </c>
      <c r="F181" s="53" t="s">
        <v>68</v>
      </c>
      <c r="G181" s="55"/>
      <c r="H181" s="56">
        <v>45569</v>
      </c>
      <c r="I181" s="57">
        <v>0.60972222222222217</v>
      </c>
      <c r="J181" s="53" t="s">
        <v>69</v>
      </c>
      <c r="K181" s="54" t="s">
        <v>69</v>
      </c>
      <c r="L181" s="53" t="s">
        <v>242</v>
      </c>
      <c r="M181" s="58" t="s">
        <v>64</v>
      </c>
      <c r="N181" t="str">
        <f t="shared" si="9"/>
        <v>Executed</v>
      </c>
      <c r="O181" t="str">
        <f t="shared" si="8"/>
        <v>Done</v>
      </c>
      <c r="P181" t="str">
        <f t="shared" si="7"/>
        <v>U1300 R6.4 - NIC3 - Boost Primacy - Boost time longer than LC override</v>
      </c>
    </row>
    <row r="182" spans="1:16" ht="15.75" hidden="1" thickBot="1" x14ac:dyDescent="0.3">
      <c r="A182" s="52">
        <v>123</v>
      </c>
      <c r="B182" s="53" t="s">
        <v>58</v>
      </c>
      <c r="C182" s="54" t="s">
        <v>241</v>
      </c>
      <c r="D182" s="53" t="s">
        <v>248</v>
      </c>
      <c r="E182" s="54" t="s">
        <v>126</v>
      </c>
      <c r="F182" s="53" t="s">
        <v>68</v>
      </c>
      <c r="G182" s="55"/>
      <c r="H182" s="56">
        <v>45569</v>
      </c>
      <c r="I182" s="57">
        <v>0.66929398148148145</v>
      </c>
      <c r="J182" s="53" t="s">
        <v>69</v>
      </c>
      <c r="K182" s="54" t="s">
        <v>69</v>
      </c>
      <c r="L182" s="53" t="s">
        <v>242</v>
      </c>
      <c r="M182" s="58" t="s">
        <v>64</v>
      </c>
      <c r="N182" t="str">
        <f t="shared" si="9"/>
        <v>Executed</v>
      </c>
      <c r="O182" t="str">
        <f t="shared" si="8"/>
        <v>Done</v>
      </c>
      <c r="P182" t="str">
        <f t="shared" si="7"/>
        <v>U1300 R6.4 - NIC3 - Boost Primacy - Disabled</v>
      </c>
    </row>
    <row r="183" spans="1:16" ht="15.75" hidden="1" thickBot="1" x14ac:dyDescent="0.3">
      <c r="A183" s="52">
        <v>1725</v>
      </c>
      <c r="B183" s="53" t="s">
        <v>58</v>
      </c>
      <c r="C183" s="54" t="s">
        <v>241</v>
      </c>
      <c r="D183" s="53" t="s">
        <v>248</v>
      </c>
      <c r="E183" s="54" t="s">
        <v>127</v>
      </c>
      <c r="F183" s="53" t="s">
        <v>68</v>
      </c>
      <c r="G183" s="55"/>
      <c r="H183" s="56">
        <v>45569</v>
      </c>
      <c r="I183" s="57">
        <v>0.69712962962962965</v>
      </c>
      <c r="J183" s="53" t="s">
        <v>78</v>
      </c>
      <c r="K183" s="54" t="s">
        <v>78</v>
      </c>
      <c r="L183" s="53" t="s">
        <v>242</v>
      </c>
      <c r="M183" s="58" t="s">
        <v>64</v>
      </c>
      <c r="N183" t="str">
        <f t="shared" si="9"/>
        <v>Executed</v>
      </c>
      <c r="O183" t="str">
        <f t="shared" si="8"/>
        <v>Done</v>
      </c>
      <c r="P183" t="str">
        <f t="shared" si="7"/>
        <v>U1300 R6.4 - NIC3 - Boost Primacy - Enable-Disable</v>
      </c>
    </row>
    <row r="184" spans="1:16" ht="15.75" hidden="1" thickBot="1" x14ac:dyDescent="0.3">
      <c r="A184" s="52">
        <v>90</v>
      </c>
      <c r="B184" s="53" t="s">
        <v>58</v>
      </c>
      <c r="C184" s="54" t="s">
        <v>241</v>
      </c>
      <c r="D184" s="53" t="s">
        <v>248</v>
      </c>
      <c r="E184" s="54" t="s">
        <v>128</v>
      </c>
      <c r="F184" s="53" t="s">
        <v>68</v>
      </c>
      <c r="G184" s="55"/>
      <c r="H184" s="56">
        <v>45572</v>
      </c>
      <c r="I184" s="57">
        <v>0.68251157407407403</v>
      </c>
      <c r="J184" s="53" t="s">
        <v>69</v>
      </c>
      <c r="K184" s="54" t="s">
        <v>69</v>
      </c>
      <c r="L184" s="53" t="s">
        <v>242</v>
      </c>
      <c r="M184" s="58" t="s">
        <v>64</v>
      </c>
      <c r="N184" t="str">
        <f t="shared" si="9"/>
        <v>Executed</v>
      </c>
      <c r="O184" t="str">
        <f t="shared" si="8"/>
        <v>Done</v>
      </c>
      <c r="P184" t="str">
        <f t="shared" si="7"/>
        <v>U1300 R6.4 - NIC3 - Boost operation - Disabled</v>
      </c>
    </row>
    <row r="185" spans="1:16" ht="15.75" hidden="1" thickBot="1" x14ac:dyDescent="0.3">
      <c r="A185" s="52">
        <v>76</v>
      </c>
      <c r="B185" s="53" t="s">
        <v>58</v>
      </c>
      <c r="C185" s="54" t="s">
        <v>241</v>
      </c>
      <c r="D185" s="53" t="s">
        <v>248</v>
      </c>
      <c r="E185" s="54" t="s">
        <v>129</v>
      </c>
      <c r="F185" s="53" t="s">
        <v>61</v>
      </c>
      <c r="G185" s="55"/>
      <c r="H185" s="56">
        <v>45573</v>
      </c>
      <c r="I185" s="57">
        <v>0.47475694444444444</v>
      </c>
      <c r="J185" s="53" t="s">
        <v>69</v>
      </c>
      <c r="K185" s="54" t="s">
        <v>69</v>
      </c>
      <c r="L185" s="53" t="s">
        <v>242</v>
      </c>
      <c r="M185" s="58" t="s">
        <v>64</v>
      </c>
      <c r="N185" t="str">
        <f t="shared" si="9"/>
        <v>Executed</v>
      </c>
      <c r="O185" t="str">
        <f t="shared" si="8"/>
        <v>Done</v>
      </c>
      <c r="P185" t="str">
        <f t="shared" si="7"/>
        <v>U1300 R6.4 - NIC3 - Boost operation - Enabled - Boost (Boost Duration) minutes</v>
      </c>
    </row>
    <row r="186" spans="1:16" ht="15.75" hidden="1" thickBot="1" x14ac:dyDescent="0.3">
      <c r="A186" s="52">
        <v>74</v>
      </c>
      <c r="B186" s="53" t="s">
        <v>58</v>
      </c>
      <c r="C186" s="54" t="s">
        <v>237</v>
      </c>
      <c r="D186" s="53" t="s">
        <v>248</v>
      </c>
      <c r="E186" s="54" t="s">
        <v>122</v>
      </c>
      <c r="F186" s="53" t="s">
        <v>61</v>
      </c>
      <c r="G186" s="55"/>
      <c r="H186" s="56">
        <v>45555</v>
      </c>
      <c r="I186" s="57">
        <v>0.41333333333333333</v>
      </c>
      <c r="J186" s="53" t="s">
        <v>69</v>
      </c>
      <c r="K186" s="54" t="s">
        <v>69</v>
      </c>
      <c r="L186" s="53" t="s">
        <v>238</v>
      </c>
      <c r="M186" s="58" t="s">
        <v>63</v>
      </c>
      <c r="N186" t="str">
        <f t="shared" si="9"/>
        <v>Executed</v>
      </c>
      <c r="O186" t="str">
        <f t="shared" si="8"/>
        <v>Done</v>
      </c>
      <c r="P186" t="str">
        <f t="shared" si="7"/>
        <v>U3400 R6.4 - NIC5 - Meter load contactor - remote override (close)</v>
      </c>
    </row>
    <row r="187" spans="1:16" ht="15.75" hidden="1" thickBot="1" x14ac:dyDescent="0.3">
      <c r="A187" s="52">
        <v>73</v>
      </c>
      <c r="B187" s="53" t="s">
        <v>58</v>
      </c>
      <c r="C187" s="54" t="s">
        <v>237</v>
      </c>
      <c r="D187" s="53" t="s">
        <v>248</v>
      </c>
      <c r="E187" s="54" t="s">
        <v>123</v>
      </c>
      <c r="F187" s="53" t="s">
        <v>61</v>
      </c>
      <c r="G187" s="55"/>
      <c r="H187" s="56">
        <v>45555</v>
      </c>
      <c r="I187" s="57">
        <v>0.45815972222222223</v>
      </c>
      <c r="J187" s="53" t="s">
        <v>78</v>
      </c>
      <c r="K187" s="54" t="s">
        <v>78</v>
      </c>
      <c r="L187" s="53" t="s">
        <v>238</v>
      </c>
      <c r="M187" s="58" t="s">
        <v>63</v>
      </c>
      <c r="N187" t="str">
        <f t="shared" si="9"/>
        <v>Executed</v>
      </c>
      <c r="O187" t="str">
        <f t="shared" si="8"/>
        <v>Done</v>
      </c>
      <c r="P187" t="str">
        <f t="shared" si="7"/>
        <v>U3400 R6.4 - NIC5 - Meter load contactor - remote override (open)</v>
      </c>
    </row>
    <row r="188" spans="1:16" ht="15.75" hidden="1" thickBot="1" x14ac:dyDescent="0.3">
      <c r="A188" s="52">
        <v>75</v>
      </c>
      <c r="B188" s="53" t="s">
        <v>58</v>
      </c>
      <c r="C188" s="54" t="s">
        <v>237</v>
      </c>
      <c r="D188" s="53" t="s">
        <v>248</v>
      </c>
      <c r="E188" s="54" t="s">
        <v>124</v>
      </c>
      <c r="F188" s="53" t="s">
        <v>61</v>
      </c>
      <c r="G188" s="55"/>
      <c r="H188" s="56">
        <v>45572</v>
      </c>
      <c r="I188" s="57">
        <v>0.43240740740740741</v>
      </c>
      <c r="J188" s="53" t="s">
        <v>69</v>
      </c>
      <c r="K188" s="54" t="s">
        <v>69</v>
      </c>
      <c r="L188" s="53" t="s">
        <v>238</v>
      </c>
      <c r="M188" s="58" t="s">
        <v>63</v>
      </c>
      <c r="N188" t="str">
        <f t="shared" si="9"/>
        <v>Executed</v>
      </c>
      <c r="O188" t="str">
        <f t="shared" si="8"/>
        <v>Done</v>
      </c>
      <c r="P188" t="str">
        <f t="shared" si="7"/>
        <v>U3400 R6.4 - NIC5 - Meter load contactor - switching schedule 5-on-5-off</v>
      </c>
    </row>
    <row r="189" spans="1:16" ht="15.75" hidden="1" thickBot="1" x14ac:dyDescent="0.3">
      <c r="A189" s="52">
        <v>122</v>
      </c>
      <c r="B189" s="53" t="s">
        <v>58</v>
      </c>
      <c r="C189" s="54" t="s">
        <v>237</v>
      </c>
      <c r="D189" s="53" t="s">
        <v>248</v>
      </c>
      <c r="E189" s="54" t="s">
        <v>125</v>
      </c>
      <c r="F189" s="53" t="s">
        <v>68</v>
      </c>
      <c r="G189" s="55"/>
      <c r="H189" s="56">
        <v>45568</v>
      </c>
      <c r="I189" s="57">
        <v>0.67988425925925933</v>
      </c>
      <c r="J189" s="53" t="s">
        <v>69</v>
      </c>
      <c r="K189" s="54" t="s">
        <v>69</v>
      </c>
      <c r="L189" s="53" t="s">
        <v>238</v>
      </c>
      <c r="M189" s="58" t="s">
        <v>63</v>
      </c>
      <c r="N189" t="str">
        <f t="shared" si="9"/>
        <v>Executed</v>
      </c>
      <c r="O189" t="str">
        <f t="shared" si="8"/>
        <v>Done</v>
      </c>
      <c r="P189" t="str">
        <f t="shared" si="7"/>
        <v>U3400 R6.4 - NIC5 - Boost Primacy - Boost time longer than LC override</v>
      </c>
    </row>
    <row r="190" spans="1:16" ht="15.75" hidden="1" thickBot="1" x14ac:dyDescent="0.3">
      <c r="A190" s="52">
        <v>123</v>
      </c>
      <c r="B190" s="53" t="s">
        <v>58</v>
      </c>
      <c r="C190" s="54" t="s">
        <v>237</v>
      </c>
      <c r="D190" s="53" t="s">
        <v>248</v>
      </c>
      <c r="E190" s="54" t="s">
        <v>126</v>
      </c>
      <c r="F190" s="53" t="s">
        <v>68</v>
      </c>
      <c r="G190" s="55"/>
      <c r="H190" s="56">
        <v>45555</v>
      </c>
      <c r="I190" s="57">
        <v>0.55578703703703702</v>
      </c>
      <c r="J190" s="53" t="s">
        <v>69</v>
      </c>
      <c r="K190" s="54" t="s">
        <v>69</v>
      </c>
      <c r="L190" s="53" t="s">
        <v>238</v>
      </c>
      <c r="M190" s="58" t="s">
        <v>63</v>
      </c>
      <c r="N190" t="str">
        <f t="shared" si="9"/>
        <v>Executed</v>
      </c>
      <c r="O190" t="str">
        <f t="shared" si="8"/>
        <v>Done</v>
      </c>
      <c r="P190" t="str">
        <f t="shared" si="7"/>
        <v>U3400 R6.4 - NIC5 - Boost Primacy - Disabled</v>
      </c>
    </row>
    <row r="191" spans="1:16" ht="15.75" hidden="1" thickBot="1" x14ac:dyDescent="0.3">
      <c r="A191" s="52">
        <v>1725</v>
      </c>
      <c r="B191" s="53" t="s">
        <v>58</v>
      </c>
      <c r="C191" s="54" t="s">
        <v>237</v>
      </c>
      <c r="D191" s="53" t="s">
        <v>248</v>
      </c>
      <c r="E191" s="54" t="s">
        <v>127</v>
      </c>
      <c r="F191" s="53" t="s">
        <v>68</v>
      </c>
      <c r="G191" s="55"/>
      <c r="H191" s="56">
        <v>45555</v>
      </c>
      <c r="I191" s="57">
        <v>0.6257638888888889</v>
      </c>
      <c r="J191" s="53" t="s">
        <v>78</v>
      </c>
      <c r="K191" s="54" t="s">
        <v>78</v>
      </c>
      <c r="L191" s="53" t="s">
        <v>238</v>
      </c>
      <c r="M191" s="58" t="s">
        <v>63</v>
      </c>
      <c r="N191" t="str">
        <f t="shared" si="9"/>
        <v>Executed</v>
      </c>
      <c r="O191" t="str">
        <f t="shared" si="8"/>
        <v>Done</v>
      </c>
      <c r="P191" t="str">
        <f t="shared" si="7"/>
        <v>U3400 R6.4 - NIC5 - Boost Primacy - Enable-Disable</v>
      </c>
    </row>
    <row r="192" spans="1:16" ht="15.75" hidden="1" thickBot="1" x14ac:dyDescent="0.3">
      <c r="A192" s="52">
        <v>90</v>
      </c>
      <c r="B192" s="53" t="s">
        <v>58</v>
      </c>
      <c r="C192" s="54" t="s">
        <v>237</v>
      </c>
      <c r="D192" s="53" t="s">
        <v>248</v>
      </c>
      <c r="E192" s="54" t="s">
        <v>128</v>
      </c>
      <c r="F192" s="53" t="s">
        <v>68</v>
      </c>
      <c r="G192" s="55"/>
      <c r="H192" s="56">
        <v>45559</v>
      </c>
      <c r="I192" s="57">
        <v>0.40159722222222222</v>
      </c>
      <c r="J192" s="53" t="s">
        <v>69</v>
      </c>
      <c r="K192" s="54" t="s">
        <v>69</v>
      </c>
      <c r="L192" s="53" t="s">
        <v>238</v>
      </c>
      <c r="M192" s="58" t="s">
        <v>63</v>
      </c>
      <c r="N192" t="str">
        <f t="shared" si="9"/>
        <v>Executed</v>
      </c>
      <c r="O192" t="str">
        <f t="shared" si="8"/>
        <v>Done</v>
      </c>
      <c r="P192" t="str">
        <f t="shared" si="7"/>
        <v>U3400 R6.4 - NIC5 - Boost operation - Disabled</v>
      </c>
    </row>
    <row r="193" spans="1:16" ht="15.75" hidden="1" thickBot="1" x14ac:dyDescent="0.3">
      <c r="A193" s="52">
        <v>76</v>
      </c>
      <c r="B193" s="53" t="s">
        <v>58</v>
      </c>
      <c r="C193" s="54" t="s">
        <v>237</v>
      </c>
      <c r="D193" s="53" t="s">
        <v>248</v>
      </c>
      <c r="E193" s="54" t="s">
        <v>129</v>
      </c>
      <c r="F193" s="53" t="s">
        <v>61</v>
      </c>
      <c r="G193" s="55"/>
      <c r="H193" s="56">
        <v>45559</v>
      </c>
      <c r="I193" s="57">
        <v>0.52541666666666664</v>
      </c>
      <c r="J193" s="53" t="s">
        <v>69</v>
      </c>
      <c r="K193" s="54" t="s">
        <v>69</v>
      </c>
      <c r="L193" s="53" t="s">
        <v>238</v>
      </c>
      <c r="M193" s="58" t="s">
        <v>63</v>
      </c>
      <c r="N193" t="str">
        <f t="shared" si="9"/>
        <v>Executed</v>
      </c>
      <c r="O193" t="str">
        <f t="shared" si="8"/>
        <v>Done</v>
      </c>
      <c r="P193" t="str">
        <f t="shared" si="7"/>
        <v>U3400 R6.4 - NIC5 - Boost operation - Enabled - Boost (Boost Duration) minutes</v>
      </c>
    </row>
    <row r="194" spans="1:16" ht="15.75" hidden="1" thickBot="1" x14ac:dyDescent="0.3">
      <c r="A194" s="52">
        <v>74</v>
      </c>
      <c r="B194" s="53" t="s">
        <v>58</v>
      </c>
      <c r="C194" s="54" t="s">
        <v>240</v>
      </c>
      <c r="D194" s="53" t="s">
        <v>248</v>
      </c>
      <c r="E194" s="54" t="s">
        <v>122</v>
      </c>
      <c r="F194" s="53" t="s">
        <v>61</v>
      </c>
      <c r="G194" s="55"/>
      <c r="H194" s="56">
        <v>45555</v>
      </c>
      <c r="I194" s="57">
        <v>0.59196759259259257</v>
      </c>
      <c r="J194" s="53" t="s">
        <v>69</v>
      </c>
      <c r="K194" s="54" t="s">
        <v>69</v>
      </c>
      <c r="L194" s="53" t="s">
        <v>242</v>
      </c>
      <c r="M194" s="58" t="s">
        <v>64</v>
      </c>
      <c r="N194" t="str">
        <f t="shared" si="9"/>
        <v>Executed</v>
      </c>
      <c r="O194" t="str">
        <f t="shared" si="8"/>
        <v>Done</v>
      </c>
      <c r="P194" t="str">
        <f t="shared" ref="P194:P235" si="10">CONCATENATE(C194," - ",E194)</f>
        <v>U1300 R6.4 - NIC5 - Meter load contactor - remote override (close)</v>
      </c>
    </row>
    <row r="195" spans="1:16" ht="15.75" hidden="1" thickBot="1" x14ac:dyDescent="0.3">
      <c r="A195" s="52">
        <v>73</v>
      </c>
      <c r="B195" s="53" t="s">
        <v>58</v>
      </c>
      <c r="C195" s="54" t="s">
        <v>240</v>
      </c>
      <c r="D195" s="53" t="s">
        <v>248</v>
      </c>
      <c r="E195" s="54" t="s">
        <v>123</v>
      </c>
      <c r="F195" s="53" t="s">
        <v>61</v>
      </c>
      <c r="G195" s="55"/>
      <c r="H195" s="56">
        <v>45555</v>
      </c>
      <c r="I195" s="57">
        <v>0.62260416666666674</v>
      </c>
      <c r="J195" s="53" t="s">
        <v>78</v>
      </c>
      <c r="K195" s="54" t="s">
        <v>78</v>
      </c>
      <c r="L195" s="53" t="s">
        <v>242</v>
      </c>
      <c r="M195" s="58" t="s">
        <v>64</v>
      </c>
      <c r="N195" t="str">
        <f t="shared" si="9"/>
        <v>Executed</v>
      </c>
      <c r="O195" t="str">
        <f t="shared" ref="O195:O258" si="11">IF(OR(K195="No Run",K195="Not Completed"),"Unfinished",IF(OR(K195="asdfs"),"RBT",IF(OR(K195="N/A"),"N/A",IF(OR(K195="Passed",K195="Failed",K195="RBT"),"Done",IF(OR(K195="Blocked"),"Blocked","-")))))</f>
        <v>Done</v>
      </c>
      <c r="P195" t="str">
        <f t="shared" si="10"/>
        <v>U1300 R6.4 - NIC5 - Meter load contactor - remote override (open)</v>
      </c>
    </row>
    <row r="196" spans="1:16" ht="15.75" hidden="1" thickBot="1" x14ac:dyDescent="0.3">
      <c r="A196" s="52">
        <v>75</v>
      </c>
      <c r="B196" s="53" t="s">
        <v>58</v>
      </c>
      <c r="C196" s="54" t="s">
        <v>240</v>
      </c>
      <c r="D196" s="53" t="s">
        <v>248</v>
      </c>
      <c r="E196" s="54" t="s">
        <v>124</v>
      </c>
      <c r="F196" s="53" t="s">
        <v>61</v>
      </c>
      <c r="G196" s="55"/>
      <c r="H196" s="56">
        <v>45558</v>
      </c>
      <c r="I196" s="57">
        <v>0.39136574074074071</v>
      </c>
      <c r="J196" s="53" t="s">
        <v>69</v>
      </c>
      <c r="K196" s="54" t="s">
        <v>69</v>
      </c>
      <c r="L196" s="53" t="s">
        <v>242</v>
      </c>
      <c r="M196" s="58" t="s">
        <v>64</v>
      </c>
      <c r="N196" t="str">
        <f t="shared" ref="N196:N235" si="12">IF(OR(K196="No Run",K196="Blocked",K196="N/A"),"No Run",IF(OR(K196="RBT"),"RBT","Executed"))</f>
        <v>Executed</v>
      </c>
      <c r="O196" t="str">
        <f t="shared" si="11"/>
        <v>Done</v>
      </c>
      <c r="P196" t="str">
        <f t="shared" si="10"/>
        <v>U1300 R6.4 - NIC5 - Meter load contactor - switching schedule 5-on-5-off</v>
      </c>
    </row>
    <row r="197" spans="1:16" ht="15.75" hidden="1" thickBot="1" x14ac:dyDescent="0.3">
      <c r="A197" s="52">
        <v>122</v>
      </c>
      <c r="B197" s="53" t="s">
        <v>58</v>
      </c>
      <c r="C197" s="54" t="s">
        <v>240</v>
      </c>
      <c r="D197" s="53" t="s">
        <v>248</v>
      </c>
      <c r="E197" s="54" t="s">
        <v>125</v>
      </c>
      <c r="F197" s="53" t="s">
        <v>68</v>
      </c>
      <c r="G197" s="55"/>
      <c r="H197" s="56">
        <v>45569</v>
      </c>
      <c r="I197" s="57">
        <v>0.61084490740740738</v>
      </c>
      <c r="J197" s="53" t="s">
        <v>69</v>
      </c>
      <c r="K197" s="54" t="s">
        <v>69</v>
      </c>
      <c r="L197" s="53" t="s">
        <v>242</v>
      </c>
      <c r="M197" s="58" t="s">
        <v>64</v>
      </c>
      <c r="N197" t="str">
        <f t="shared" si="12"/>
        <v>Executed</v>
      </c>
      <c r="O197" t="str">
        <f t="shared" si="11"/>
        <v>Done</v>
      </c>
      <c r="P197" t="str">
        <f t="shared" si="10"/>
        <v>U1300 R6.4 - NIC5 - Boost Primacy - Boost time longer than LC override</v>
      </c>
    </row>
    <row r="198" spans="1:16" ht="15.75" hidden="1" thickBot="1" x14ac:dyDescent="0.3">
      <c r="A198" s="52">
        <v>123</v>
      </c>
      <c r="B198" s="53" t="s">
        <v>58</v>
      </c>
      <c r="C198" s="54" t="s">
        <v>240</v>
      </c>
      <c r="D198" s="53" t="s">
        <v>248</v>
      </c>
      <c r="E198" s="54" t="s">
        <v>126</v>
      </c>
      <c r="F198" s="53" t="s">
        <v>68</v>
      </c>
      <c r="G198" s="55"/>
      <c r="H198" s="56">
        <v>45569</v>
      </c>
      <c r="I198" s="57">
        <v>0.6750694444444445</v>
      </c>
      <c r="J198" s="53" t="s">
        <v>69</v>
      </c>
      <c r="K198" s="54" t="s">
        <v>69</v>
      </c>
      <c r="L198" s="53" t="s">
        <v>242</v>
      </c>
      <c r="M198" s="58" t="s">
        <v>64</v>
      </c>
      <c r="N198" t="str">
        <f t="shared" si="12"/>
        <v>Executed</v>
      </c>
      <c r="O198" t="str">
        <f t="shared" si="11"/>
        <v>Done</v>
      </c>
      <c r="P198" t="str">
        <f t="shared" si="10"/>
        <v>U1300 R6.4 - NIC5 - Boost Primacy - Disabled</v>
      </c>
    </row>
    <row r="199" spans="1:16" ht="15.75" hidden="1" thickBot="1" x14ac:dyDescent="0.3">
      <c r="A199" s="52">
        <v>1725</v>
      </c>
      <c r="B199" s="53" t="s">
        <v>58</v>
      </c>
      <c r="C199" s="54" t="s">
        <v>240</v>
      </c>
      <c r="D199" s="53" t="s">
        <v>248</v>
      </c>
      <c r="E199" s="54" t="s">
        <v>127</v>
      </c>
      <c r="F199" s="53" t="s">
        <v>68</v>
      </c>
      <c r="G199" s="55"/>
      <c r="H199" s="56">
        <v>45569</v>
      </c>
      <c r="I199" s="57">
        <v>0.70622685185185186</v>
      </c>
      <c r="J199" s="53" t="s">
        <v>78</v>
      </c>
      <c r="K199" s="54" t="s">
        <v>78</v>
      </c>
      <c r="L199" s="53" t="s">
        <v>242</v>
      </c>
      <c r="M199" s="58" t="s">
        <v>64</v>
      </c>
      <c r="N199" t="str">
        <f t="shared" si="12"/>
        <v>Executed</v>
      </c>
      <c r="O199" t="str">
        <f t="shared" si="11"/>
        <v>Done</v>
      </c>
      <c r="P199" t="str">
        <f t="shared" si="10"/>
        <v>U1300 R6.4 - NIC5 - Boost Primacy - Enable-Disable</v>
      </c>
    </row>
    <row r="200" spans="1:16" ht="15.75" hidden="1" thickBot="1" x14ac:dyDescent="0.3">
      <c r="A200" s="52">
        <v>90</v>
      </c>
      <c r="B200" s="53" t="s">
        <v>58</v>
      </c>
      <c r="C200" s="54" t="s">
        <v>240</v>
      </c>
      <c r="D200" s="53" t="s">
        <v>248</v>
      </c>
      <c r="E200" s="54" t="s">
        <v>128</v>
      </c>
      <c r="F200" s="53" t="s">
        <v>68</v>
      </c>
      <c r="G200" s="55"/>
      <c r="H200" s="56">
        <v>45572</v>
      </c>
      <c r="I200" s="57">
        <v>0.68319444444444455</v>
      </c>
      <c r="J200" s="53" t="s">
        <v>69</v>
      </c>
      <c r="K200" s="54" t="s">
        <v>69</v>
      </c>
      <c r="L200" s="53" t="s">
        <v>242</v>
      </c>
      <c r="M200" s="58" t="s">
        <v>64</v>
      </c>
      <c r="N200" t="str">
        <f t="shared" si="12"/>
        <v>Executed</v>
      </c>
      <c r="O200" t="str">
        <f t="shared" si="11"/>
        <v>Done</v>
      </c>
      <c r="P200" t="str">
        <f t="shared" si="10"/>
        <v>U1300 R6.4 - NIC5 - Boost operation - Disabled</v>
      </c>
    </row>
    <row r="201" spans="1:16" ht="15.75" hidden="1" thickBot="1" x14ac:dyDescent="0.3">
      <c r="A201" s="52">
        <v>76</v>
      </c>
      <c r="B201" s="53" t="s">
        <v>58</v>
      </c>
      <c r="C201" s="54" t="s">
        <v>240</v>
      </c>
      <c r="D201" s="53" t="s">
        <v>248</v>
      </c>
      <c r="E201" s="54" t="s">
        <v>129</v>
      </c>
      <c r="F201" s="53" t="s">
        <v>61</v>
      </c>
      <c r="G201" s="55"/>
      <c r="H201" s="56">
        <v>45573</v>
      </c>
      <c r="I201" s="57">
        <v>0.47815972222222225</v>
      </c>
      <c r="J201" s="53" t="s">
        <v>69</v>
      </c>
      <c r="K201" s="54" t="s">
        <v>69</v>
      </c>
      <c r="L201" s="53" t="s">
        <v>242</v>
      </c>
      <c r="M201" s="58" t="s">
        <v>64</v>
      </c>
      <c r="N201" t="str">
        <f t="shared" si="12"/>
        <v>Executed</v>
      </c>
      <c r="O201" t="str">
        <f t="shared" si="11"/>
        <v>Done</v>
      </c>
      <c r="P201" t="str">
        <f t="shared" si="10"/>
        <v>U1300 R6.4 - NIC5 - Boost operation - Enabled - Boost (Boost Duration) minutes</v>
      </c>
    </row>
    <row r="202" spans="1:16" ht="15.75" hidden="1" thickBot="1" x14ac:dyDescent="0.3">
      <c r="A202" s="52">
        <v>79</v>
      </c>
      <c r="B202" s="53" t="s">
        <v>58</v>
      </c>
      <c r="C202" s="54" t="s">
        <v>239</v>
      </c>
      <c r="D202" s="53" t="s">
        <v>130</v>
      </c>
      <c r="E202" s="54" t="s">
        <v>131</v>
      </c>
      <c r="F202" s="53" t="s">
        <v>61</v>
      </c>
      <c r="G202" s="55"/>
      <c r="H202" s="56">
        <v>45574</v>
      </c>
      <c r="I202" s="57">
        <v>0.53020833333333328</v>
      </c>
      <c r="J202" s="53" t="s">
        <v>69</v>
      </c>
      <c r="K202" s="54" t="s">
        <v>69</v>
      </c>
      <c r="L202" s="53" t="s">
        <v>238</v>
      </c>
      <c r="M202" s="58" t="s">
        <v>63</v>
      </c>
      <c r="N202" t="str">
        <f t="shared" si="12"/>
        <v>Executed</v>
      </c>
      <c r="O202" t="str">
        <f t="shared" si="11"/>
        <v>Done</v>
      </c>
      <c r="P202" t="str">
        <f t="shared" si="10"/>
        <v>U3400 R6.4 - NIC3 - Loss of phase supply on 3-phase meters</v>
      </c>
    </row>
    <row r="203" spans="1:16" ht="15.75" hidden="1" thickBot="1" x14ac:dyDescent="0.3">
      <c r="A203" s="52">
        <v>78</v>
      </c>
      <c r="B203" s="53" t="s">
        <v>58</v>
      </c>
      <c r="C203" s="54" t="s">
        <v>239</v>
      </c>
      <c r="D203" s="53" t="s">
        <v>130</v>
      </c>
      <c r="E203" s="54" t="s">
        <v>132</v>
      </c>
      <c r="F203" s="53" t="s">
        <v>61</v>
      </c>
      <c r="G203" s="55"/>
      <c r="H203" s="56">
        <v>45574</v>
      </c>
      <c r="I203" s="57">
        <v>0.70063657407407398</v>
      </c>
      <c r="J203" s="53" t="s">
        <v>69</v>
      </c>
      <c r="K203" s="54" t="s">
        <v>69</v>
      </c>
      <c r="L203" s="53" t="s">
        <v>238</v>
      </c>
      <c r="M203" s="58" t="s">
        <v>63</v>
      </c>
      <c r="N203" t="str">
        <f t="shared" si="12"/>
        <v>Executed</v>
      </c>
      <c r="O203" t="str">
        <f t="shared" si="11"/>
        <v>Done</v>
      </c>
      <c r="P203" t="str">
        <f t="shared" si="10"/>
        <v>U3400 R6.4 - NIC3 - Loss of supply - threshold</v>
      </c>
    </row>
    <row r="204" spans="1:16" ht="15.75" thickBot="1" x14ac:dyDescent="0.3">
      <c r="A204" s="52">
        <v>120</v>
      </c>
      <c r="B204" s="53" t="s">
        <v>58</v>
      </c>
      <c r="C204" s="54" t="s">
        <v>239</v>
      </c>
      <c r="D204" s="53" t="s">
        <v>130</v>
      </c>
      <c r="E204" s="54" t="s">
        <v>133</v>
      </c>
      <c r="F204" s="53" t="s">
        <v>68</v>
      </c>
      <c r="G204" s="55"/>
      <c r="H204" s="56">
        <v>45580</v>
      </c>
      <c r="I204" s="57">
        <v>0.45274305555555555</v>
      </c>
      <c r="J204" s="53" t="s">
        <v>62</v>
      </c>
      <c r="K204" s="54" t="s">
        <v>62</v>
      </c>
      <c r="L204" s="53" t="s">
        <v>238</v>
      </c>
      <c r="M204" s="58" t="s">
        <v>63</v>
      </c>
      <c r="N204" t="str">
        <f t="shared" si="12"/>
        <v>RBT</v>
      </c>
      <c r="O204" t="str">
        <f t="shared" si="11"/>
        <v>Done</v>
      </c>
      <c r="P204" t="str">
        <f t="shared" si="10"/>
        <v>U3400 R6.4 - NIC3 - Over temperature event - L&amp;G meters</v>
      </c>
    </row>
    <row r="205" spans="1:16" ht="15.75" hidden="1" thickBot="1" x14ac:dyDescent="0.3">
      <c r="A205" s="52">
        <v>146</v>
      </c>
      <c r="B205" s="53" t="s">
        <v>58</v>
      </c>
      <c r="C205" s="54" t="s">
        <v>239</v>
      </c>
      <c r="D205" s="53" t="s">
        <v>130</v>
      </c>
      <c r="E205" s="54" t="s">
        <v>134</v>
      </c>
      <c r="F205" s="53" t="s">
        <v>61</v>
      </c>
      <c r="G205" s="55"/>
      <c r="H205" s="56">
        <v>45576</v>
      </c>
      <c r="I205" s="57">
        <v>0.62865740740740739</v>
      </c>
      <c r="J205" s="53" t="s">
        <v>111</v>
      </c>
      <c r="K205" s="54" t="s">
        <v>111</v>
      </c>
      <c r="L205" s="53" t="s">
        <v>238</v>
      </c>
      <c r="M205" s="58" t="s">
        <v>63</v>
      </c>
      <c r="N205" t="str">
        <f t="shared" si="12"/>
        <v>No Run</v>
      </c>
      <c r="O205" t="str">
        <f t="shared" si="11"/>
        <v>N/A</v>
      </c>
      <c r="P205" t="str">
        <f t="shared" si="10"/>
        <v>U3400 R6.4 - NIC3 - QoS - Low PF detection</v>
      </c>
    </row>
    <row r="206" spans="1:16" ht="15.75" hidden="1" thickBot="1" x14ac:dyDescent="0.3">
      <c r="A206" s="52">
        <v>80</v>
      </c>
      <c r="B206" s="53" t="s">
        <v>58</v>
      </c>
      <c r="C206" s="54" t="s">
        <v>239</v>
      </c>
      <c r="D206" s="53" t="s">
        <v>130</v>
      </c>
      <c r="E206" s="54" t="s">
        <v>135</v>
      </c>
      <c r="F206" s="53" t="s">
        <v>61</v>
      </c>
      <c r="G206" s="55"/>
      <c r="H206" s="56">
        <v>45574</v>
      </c>
      <c r="I206" s="57">
        <v>0.45538194444444446</v>
      </c>
      <c r="J206" s="53" t="s">
        <v>69</v>
      </c>
      <c r="K206" s="54" t="s">
        <v>69</v>
      </c>
      <c r="L206" s="53" t="s">
        <v>238</v>
      </c>
      <c r="M206" s="58" t="s">
        <v>63</v>
      </c>
      <c r="N206" t="str">
        <f t="shared" si="12"/>
        <v>Executed</v>
      </c>
      <c r="O206" t="str">
        <f t="shared" si="11"/>
        <v>Done</v>
      </c>
      <c r="P206" t="str">
        <f t="shared" si="10"/>
        <v>U3400 R6.4 - NIC3 - QoS - Overvoltage and Undervoltage</v>
      </c>
    </row>
    <row r="207" spans="1:16" ht="15.75" hidden="1" thickBot="1" x14ac:dyDescent="0.3">
      <c r="A207" s="52">
        <v>145</v>
      </c>
      <c r="B207" s="53" t="s">
        <v>58</v>
      </c>
      <c r="C207" s="54" t="s">
        <v>239</v>
      </c>
      <c r="D207" s="53" t="s">
        <v>130</v>
      </c>
      <c r="E207" s="54" t="s">
        <v>136</v>
      </c>
      <c r="F207" s="53" t="s">
        <v>61</v>
      </c>
      <c r="G207" s="55"/>
      <c r="H207" s="56">
        <v>45574</v>
      </c>
      <c r="I207" s="57">
        <v>0.46155092592592589</v>
      </c>
      <c r="J207" s="53" t="s">
        <v>111</v>
      </c>
      <c r="K207" s="54" t="s">
        <v>111</v>
      </c>
      <c r="L207" s="53" t="s">
        <v>238</v>
      </c>
      <c r="M207" s="58" t="s">
        <v>63</v>
      </c>
      <c r="N207" t="str">
        <f t="shared" si="12"/>
        <v>No Run</v>
      </c>
      <c r="O207" t="str">
        <f t="shared" si="11"/>
        <v>N/A</v>
      </c>
      <c r="P207" t="str">
        <f t="shared" si="10"/>
        <v>U3400 R6.4 - NIC3 - QoS - Voltage failure detection</v>
      </c>
    </row>
    <row r="208" spans="1:16" ht="15.75" hidden="1" thickBot="1" x14ac:dyDescent="0.3">
      <c r="A208" s="52">
        <v>78</v>
      </c>
      <c r="B208" s="53" t="s">
        <v>58</v>
      </c>
      <c r="C208" s="54" t="s">
        <v>241</v>
      </c>
      <c r="D208" s="53" t="s">
        <v>130</v>
      </c>
      <c r="E208" s="54" t="s">
        <v>132</v>
      </c>
      <c r="F208" s="53" t="s">
        <v>61</v>
      </c>
      <c r="G208" s="55"/>
      <c r="H208" s="56">
        <v>45573</v>
      </c>
      <c r="I208" s="57">
        <v>0.60788194444444443</v>
      </c>
      <c r="J208" s="53" t="s">
        <v>69</v>
      </c>
      <c r="K208" s="54" t="s">
        <v>69</v>
      </c>
      <c r="L208" s="53" t="s">
        <v>242</v>
      </c>
      <c r="M208" s="58" t="s">
        <v>64</v>
      </c>
      <c r="N208" t="str">
        <f t="shared" si="12"/>
        <v>Executed</v>
      </c>
      <c r="O208" t="str">
        <f t="shared" si="11"/>
        <v>Done</v>
      </c>
      <c r="P208" t="str">
        <f t="shared" si="10"/>
        <v>U1300 R6.4 - NIC3 - Loss of supply - threshold</v>
      </c>
    </row>
    <row r="209" spans="1:16" ht="15.75" thickBot="1" x14ac:dyDescent="0.3">
      <c r="A209" s="52">
        <v>120</v>
      </c>
      <c r="B209" s="53" t="s">
        <v>58</v>
      </c>
      <c r="C209" s="54" t="s">
        <v>241</v>
      </c>
      <c r="D209" s="53" t="s">
        <v>130</v>
      </c>
      <c r="E209" s="54" t="s">
        <v>133</v>
      </c>
      <c r="F209" s="53" t="s">
        <v>68</v>
      </c>
      <c r="G209" s="55"/>
      <c r="H209" s="56">
        <v>45580</v>
      </c>
      <c r="I209" s="57">
        <v>0.4971180555555556</v>
      </c>
      <c r="J209" s="53" t="s">
        <v>62</v>
      </c>
      <c r="K209" s="54" t="s">
        <v>84</v>
      </c>
      <c r="L209" s="53" t="s">
        <v>242</v>
      </c>
      <c r="M209" s="58" t="s">
        <v>64</v>
      </c>
      <c r="N209" t="str">
        <f t="shared" si="12"/>
        <v>Executed</v>
      </c>
      <c r="O209" t="str">
        <f t="shared" si="11"/>
        <v>Unfinished</v>
      </c>
      <c r="P209" t="str">
        <f t="shared" si="10"/>
        <v>U1300 R6.4 - NIC3 - Over temperature event - L&amp;G meters</v>
      </c>
    </row>
    <row r="210" spans="1:16" ht="15.75" hidden="1" thickBot="1" x14ac:dyDescent="0.3">
      <c r="A210" s="52">
        <v>146</v>
      </c>
      <c r="B210" s="53" t="s">
        <v>58</v>
      </c>
      <c r="C210" s="54" t="s">
        <v>241</v>
      </c>
      <c r="D210" s="53" t="s">
        <v>130</v>
      </c>
      <c r="E210" s="54" t="s">
        <v>134</v>
      </c>
      <c r="F210" s="53" t="s">
        <v>61</v>
      </c>
      <c r="G210" s="55" t="s">
        <v>115</v>
      </c>
      <c r="H210" s="56">
        <v>45574</v>
      </c>
      <c r="I210" s="57">
        <v>0.37682870370370369</v>
      </c>
      <c r="J210" s="53" t="s">
        <v>111</v>
      </c>
      <c r="K210" s="54" t="s">
        <v>111</v>
      </c>
      <c r="L210" s="53" t="s">
        <v>242</v>
      </c>
      <c r="M210" s="58" t="s">
        <v>64</v>
      </c>
      <c r="N210" t="str">
        <f t="shared" si="12"/>
        <v>No Run</v>
      </c>
      <c r="O210" t="str">
        <f t="shared" si="11"/>
        <v>N/A</v>
      </c>
      <c r="P210" t="str">
        <f t="shared" si="10"/>
        <v>U1300 R6.4 - NIC3 - QoS - Low PF detection</v>
      </c>
    </row>
    <row r="211" spans="1:16" ht="15.75" hidden="1" thickBot="1" x14ac:dyDescent="0.3">
      <c r="A211" s="52">
        <v>80</v>
      </c>
      <c r="B211" s="53" t="s">
        <v>58</v>
      </c>
      <c r="C211" s="54" t="s">
        <v>241</v>
      </c>
      <c r="D211" s="53" t="s">
        <v>130</v>
      </c>
      <c r="E211" s="54" t="s">
        <v>135</v>
      </c>
      <c r="F211" s="53" t="s">
        <v>61</v>
      </c>
      <c r="G211" s="55"/>
      <c r="H211" s="56">
        <v>45572</v>
      </c>
      <c r="I211" s="57">
        <v>0.66630787037037031</v>
      </c>
      <c r="J211" s="53" t="s">
        <v>69</v>
      </c>
      <c r="K211" s="54" t="s">
        <v>69</v>
      </c>
      <c r="L211" s="53" t="s">
        <v>242</v>
      </c>
      <c r="M211" s="58" t="s">
        <v>64</v>
      </c>
      <c r="N211" t="str">
        <f t="shared" si="12"/>
        <v>Executed</v>
      </c>
      <c r="O211" t="str">
        <f t="shared" si="11"/>
        <v>Done</v>
      </c>
      <c r="P211" t="str">
        <f t="shared" si="10"/>
        <v>U1300 R6.4 - NIC3 - QoS - Overvoltage and Undervoltage</v>
      </c>
    </row>
    <row r="212" spans="1:16" ht="15.75" hidden="1" thickBot="1" x14ac:dyDescent="0.3">
      <c r="A212" s="52">
        <v>145</v>
      </c>
      <c r="B212" s="53" t="s">
        <v>58</v>
      </c>
      <c r="C212" s="54" t="s">
        <v>241</v>
      </c>
      <c r="D212" s="53" t="s">
        <v>130</v>
      </c>
      <c r="E212" s="54" t="s">
        <v>136</v>
      </c>
      <c r="F212" s="53" t="s">
        <v>61</v>
      </c>
      <c r="G212" s="55" t="s">
        <v>115</v>
      </c>
      <c r="H212" s="56">
        <v>45574</v>
      </c>
      <c r="I212" s="57">
        <v>0.38136574074074076</v>
      </c>
      <c r="J212" s="53" t="s">
        <v>111</v>
      </c>
      <c r="K212" s="54" t="s">
        <v>111</v>
      </c>
      <c r="L212" s="53" t="s">
        <v>242</v>
      </c>
      <c r="M212" s="58" t="s">
        <v>64</v>
      </c>
      <c r="N212" t="str">
        <f t="shared" si="12"/>
        <v>No Run</v>
      </c>
      <c r="O212" t="str">
        <f t="shared" si="11"/>
        <v>N/A</v>
      </c>
      <c r="P212" t="str">
        <f t="shared" si="10"/>
        <v>U1300 R6.4 - NIC3 - QoS - Voltage failure detection</v>
      </c>
    </row>
    <row r="213" spans="1:16" ht="15.75" hidden="1" thickBot="1" x14ac:dyDescent="0.3">
      <c r="A213" s="52">
        <v>79</v>
      </c>
      <c r="B213" s="53" t="s">
        <v>58</v>
      </c>
      <c r="C213" s="54" t="s">
        <v>237</v>
      </c>
      <c r="D213" s="53" t="s">
        <v>130</v>
      </c>
      <c r="E213" s="54" t="s">
        <v>131</v>
      </c>
      <c r="F213" s="53" t="s">
        <v>61</v>
      </c>
      <c r="G213" s="55"/>
      <c r="H213" s="56">
        <v>45574</v>
      </c>
      <c r="I213" s="57">
        <v>0.53017361111111116</v>
      </c>
      <c r="J213" s="53" t="s">
        <v>69</v>
      </c>
      <c r="K213" s="54" t="s">
        <v>69</v>
      </c>
      <c r="L213" s="53" t="s">
        <v>238</v>
      </c>
      <c r="M213" s="58" t="s">
        <v>63</v>
      </c>
      <c r="N213" t="str">
        <f t="shared" si="12"/>
        <v>Executed</v>
      </c>
      <c r="O213" t="str">
        <f t="shared" si="11"/>
        <v>Done</v>
      </c>
      <c r="P213" t="str">
        <f t="shared" si="10"/>
        <v>U3400 R6.4 - NIC5 - Loss of phase supply on 3-phase meters</v>
      </c>
    </row>
    <row r="214" spans="1:16" ht="15.75" hidden="1" thickBot="1" x14ac:dyDescent="0.3">
      <c r="A214" s="52">
        <v>78</v>
      </c>
      <c r="B214" s="53" t="s">
        <v>58</v>
      </c>
      <c r="C214" s="54" t="s">
        <v>237</v>
      </c>
      <c r="D214" s="53" t="s">
        <v>130</v>
      </c>
      <c r="E214" s="54" t="s">
        <v>132</v>
      </c>
      <c r="F214" s="53" t="s">
        <v>61</v>
      </c>
      <c r="G214" s="55"/>
      <c r="H214" s="56">
        <v>45574</v>
      </c>
      <c r="I214" s="57">
        <v>0.70064814814814813</v>
      </c>
      <c r="J214" s="53" t="s">
        <v>69</v>
      </c>
      <c r="K214" s="54" t="s">
        <v>69</v>
      </c>
      <c r="L214" s="53" t="s">
        <v>238</v>
      </c>
      <c r="M214" s="58" t="s">
        <v>63</v>
      </c>
      <c r="N214" t="str">
        <f t="shared" si="12"/>
        <v>Executed</v>
      </c>
      <c r="O214" t="str">
        <f t="shared" si="11"/>
        <v>Done</v>
      </c>
      <c r="P214" t="str">
        <f t="shared" si="10"/>
        <v>U3400 R6.4 - NIC5 - Loss of supply - threshold</v>
      </c>
    </row>
    <row r="215" spans="1:16" ht="15.75" thickBot="1" x14ac:dyDescent="0.3">
      <c r="A215" s="52">
        <v>120</v>
      </c>
      <c r="B215" s="53" t="s">
        <v>58</v>
      </c>
      <c r="C215" s="54" t="s">
        <v>237</v>
      </c>
      <c r="D215" s="53" t="s">
        <v>130</v>
      </c>
      <c r="E215" s="54" t="s">
        <v>133</v>
      </c>
      <c r="F215" s="53" t="s">
        <v>68</v>
      </c>
      <c r="G215" s="55" t="s">
        <v>137</v>
      </c>
      <c r="H215" s="56">
        <v>45580</v>
      </c>
      <c r="I215" s="57">
        <v>0.45121527777777781</v>
      </c>
      <c r="J215" s="53" t="s">
        <v>62</v>
      </c>
      <c r="K215" s="54" t="s">
        <v>62</v>
      </c>
      <c r="L215" s="53" t="s">
        <v>238</v>
      </c>
      <c r="M215" s="58" t="s">
        <v>63</v>
      </c>
      <c r="N215" t="str">
        <f t="shared" si="12"/>
        <v>RBT</v>
      </c>
      <c r="O215" t="str">
        <f t="shared" si="11"/>
        <v>Done</v>
      </c>
      <c r="P215" t="str">
        <f t="shared" si="10"/>
        <v>U3400 R6.4 - NIC5 - Over temperature event - L&amp;G meters</v>
      </c>
    </row>
    <row r="216" spans="1:16" ht="15.75" hidden="1" thickBot="1" x14ac:dyDescent="0.3">
      <c r="A216" s="52">
        <v>146</v>
      </c>
      <c r="B216" s="53" t="s">
        <v>58</v>
      </c>
      <c r="C216" s="54" t="s">
        <v>237</v>
      </c>
      <c r="D216" s="53" t="s">
        <v>130</v>
      </c>
      <c r="E216" s="54" t="s">
        <v>134</v>
      </c>
      <c r="F216" s="53" t="s">
        <v>61</v>
      </c>
      <c r="G216" s="55"/>
      <c r="H216" s="56">
        <v>45576</v>
      </c>
      <c r="I216" s="57">
        <v>0.62878472222222226</v>
      </c>
      <c r="J216" s="53" t="s">
        <v>111</v>
      </c>
      <c r="K216" s="54" t="s">
        <v>111</v>
      </c>
      <c r="L216" s="53" t="s">
        <v>238</v>
      </c>
      <c r="M216" s="58" t="s">
        <v>63</v>
      </c>
      <c r="N216" t="str">
        <f t="shared" si="12"/>
        <v>No Run</v>
      </c>
      <c r="O216" t="str">
        <f t="shared" si="11"/>
        <v>N/A</v>
      </c>
      <c r="P216" t="str">
        <f t="shared" si="10"/>
        <v>U3400 R6.4 - NIC5 - QoS - Low PF detection</v>
      </c>
    </row>
    <row r="217" spans="1:16" ht="15.75" hidden="1" thickBot="1" x14ac:dyDescent="0.3">
      <c r="A217" s="52">
        <v>80</v>
      </c>
      <c r="B217" s="53" t="s">
        <v>58</v>
      </c>
      <c r="C217" s="54" t="s">
        <v>237</v>
      </c>
      <c r="D217" s="53" t="s">
        <v>130</v>
      </c>
      <c r="E217" s="54" t="s">
        <v>135</v>
      </c>
      <c r="F217" s="53" t="s">
        <v>61</v>
      </c>
      <c r="G217" s="55"/>
      <c r="H217" s="56">
        <v>45574</v>
      </c>
      <c r="I217" s="57">
        <v>0.45542824074074079</v>
      </c>
      <c r="J217" s="53" t="s">
        <v>69</v>
      </c>
      <c r="K217" s="54" t="s">
        <v>69</v>
      </c>
      <c r="L217" s="53" t="s">
        <v>238</v>
      </c>
      <c r="M217" s="58" t="s">
        <v>63</v>
      </c>
      <c r="N217" t="str">
        <f t="shared" si="12"/>
        <v>Executed</v>
      </c>
      <c r="O217" t="str">
        <f t="shared" si="11"/>
        <v>Done</v>
      </c>
      <c r="P217" t="str">
        <f t="shared" si="10"/>
        <v>U3400 R6.4 - NIC5 - QoS - Overvoltage and Undervoltage</v>
      </c>
    </row>
    <row r="218" spans="1:16" ht="15.75" hidden="1" thickBot="1" x14ac:dyDescent="0.3">
      <c r="A218" s="52">
        <v>145</v>
      </c>
      <c r="B218" s="53" t="s">
        <v>58</v>
      </c>
      <c r="C218" s="54" t="s">
        <v>237</v>
      </c>
      <c r="D218" s="53" t="s">
        <v>130</v>
      </c>
      <c r="E218" s="54" t="s">
        <v>136</v>
      </c>
      <c r="F218" s="53" t="s">
        <v>61</v>
      </c>
      <c r="G218" s="55"/>
      <c r="H218" s="56">
        <v>45574</v>
      </c>
      <c r="I218" s="57">
        <v>0.46172453703703703</v>
      </c>
      <c r="J218" s="53" t="s">
        <v>111</v>
      </c>
      <c r="K218" s="54" t="s">
        <v>111</v>
      </c>
      <c r="L218" s="53" t="s">
        <v>238</v>
      </c>
      <c r="M218" s="58" t="s">
        <v>63</v>
      </c>
      <c r="N218" t="str">
        <f t="shared" si="12"/>
        <v>No Run</v>
      </c>
      <c r="O218" t="str">
        <f t="shared" si="11"/>
        <v>N/A</v>
      </c>
      <c r="P218" t="str">
        <f t="shared" si="10"/>
        <v>U3400 R6.4 - NIC5 - QoS - Voltage failure detection</v>
      </c>
    </row>
    <row r="219" spans="1:16" ht="15.75" hidden="1" thickBot="1" x14ac:dyDescent="0.3">
      <c r="A219" s="52">
        <v>78</v>
      </c>
      <c r="B219" s="53" t="s">
        <v>58</v>
      </c>
      <c r="C219" s="54" t="s">
        <v>240</v>
      </c>
      <c r="D219" s="53" t="s">
        <v>130</v>
      </c>
      <c r="E219" s="54" t="s">
        <v>132</v>
      </c>
      <c r="F219" s="53" t="s">
        <v>61</v>
      </c>
      <c r="G219" s="55"/>
      <c r="H219" s="56">
        <v>45573</v>
      </c>
      <c r="I219" s="57">
        <v>0.61241898148148144</v>
      </c>
      <c r="J219" s="53" t="s">
        <v>69</v>
      </c>
      <c r="K219" s="54" t="s">
        <v>69</v>
      </c>
      <c r="L219" s="53" t="s">
        <v>242</v>
      </c>
      <c r="M219" s="58" t="s">
        <v>64</v>
      </c>
      <c r="N219" t="str">
        <f t="shared" si="12"/>
        <v>Executed</v>
      </c>
      <c r="O219" t="str">
        <f t="shared" si="11"/>
        <v>Done</v>
      </c>
      <c r="P219" t="str">
        <f t="shared" si="10"/>
        <v>U1300 R6.4 - NIC5 - Loss of supply - threshold</v>
      </c>
    </row>
    <row r="220" spans="1:16" ht="15.75" thickBot="1" x14ac:dyDescent="0.3">
      <c r="A220" s="52">
        <v>120</v>
      </c>
      <c r="B220" s="53" t="s">
        <v>58</v>
      </c>
      <c r="C220" s="54" t="s">
        <v>240</v>
      </c>
      <c r="D220" s="53" t="s">
        <v>130</v>
      </c>
      <c r="E220" s="54" t="s">
        <v>133</v>
      </c>
      <c r="F220" s="53" t="s">
        <v>68</v>
      </c>
      <c r="G220" s="55" t="s">
        <v>82</v>
      </c>
      <c r="H220" s="56">
        <v>45580</v>
      </c>
      <c r="I220" s="57">
        <v>0.49489583333333331</v>
      </c>
      <c r="J220" s="53" t="s">
        <v>62</v>
      </c>
      <c r="K220" s="54" t="s">
        <v>62</v>
      </c>
      <c r="L220" s="53" t="s">
        <v>242</v>
      </c>
      <c r="M220" s="58" t="s">
        <v>64</v>
      </c>
      <c r="N220" t="str">
        <f t="shared" si="12"/>
        <v>RBT</v>
      </c>
      <c r="O220" t="str">
        <f t="shared" si="11"/>
        <v>Done</v>
      </c>
      <c r="P220" t="str">
        <f t="shared" si="10"/>
        <v>U1300 R6.4 - NIC5 - Over temperature event - L&amp;G meters</v>
      </c>
    </row>
    <row r="221" spans="1:16" ht="15.75" hidden="1" thickBot="1" x14ac:dyDescent="0.3">
      <c r="A221" s="52">
        <v>146</v>
      </c>
      <c r="B221" s="53" t="s">
        <v>58</v>
      </c>
      <c r="C221" s="54" t="s">
        <v>240</v>
      </c>
      <c r="D221" s="53" t="s">
        <v>130</v>
      </c>
      <c r="E221" s="54" t="s">
        <v>134</v>
      </c>
      <c r="F221" s="53" t="s">
        <v>61</v>
      </c>
      <c r="G221" s="55" t="s">
        <v>115</v>
      </c>
      <c r="H221" s="56">
        <v>45574</v>
      </c>
      <c r="I221" s="57">
        <v>0.37751157407407404</v>
      </c>
      <c r="J221" s="53" t="s">
        <v>111</v>
      </c>
      <c r="K221" s="54" t="s">
        <v>111</v>
      </c>
      <c r="L221" s="53" t="s">
        <v>242</v>
      </c>
      <c r="M221" s="58" t="s">
        <v>64</v>
      </c>
      <c r="N221" t="str">
        <f t="shared" si="12"/>
        <v>No Run</v>
      </c>
      <c r="O221" t="str">
        <f t="shared" si="11"/>
        <v>N/A</v>
      </c>
      <c r="P221" t="str">
        <f t="shared" si="10"/>
        <v>U1300 R6.4 - NIC5 - QoS - Low PF detection</v>
      </c>
    </row>
    <row r="222" spans="1:16" ht="15.75" hidden="1" thickBot="1" x14ac:dyDescent="0.3">
      <c r="A222" s="52">
        <v>80</v>
      </c>
      <c r="B222" s="53" t="s">
        <v>58</v>
      </c>
      <c r="C222" s="54" t="s">
        <v>240</v>
      </c>
      <c r="D222" s="53" t="s">
        <v>130</v>
      </c>
      <c r="E222" s="54" t="s">
        <v>135</v>
      </c>
      <c r="F222" s="53" t="s">
        <v>61</v>
      </c>
      <c r="G222" s="55"/>
      <c r="H222" s="56">
        <v>45572</v>
      </c>
      <c r="I222" s="57">
        <v>0.66748842592592583</v>
      </c>
      <c r="J222" s="53" t="s">
        <v>69</v>
      </c>
      <c r="K222" s="54" t="s">
        <v>69</v>
      </c>
      <c r="L222" s="53" t="s">
        <v>242</v>
      </c>
      <c r="M222" s="58" t="s">
        <v>64</v>
      </c>
      <c r="N222" t="str">
        <f t="shared" si="12"/>
        <v>Executed</v>
      </c>
      <c r="O222" t="str">
        <f t="shared" si="11"/>
        <v>Done</v>
      </c>
      <c r="P222" t="str">
        <f t="shared" si="10"/>
        <v>U1300 R6.4 - NIC5 - QoS - Overvoltage and Undervoltage</v>
      </c>
    </row>
    <row r="223" spans="1:16" ht="15.75" hidden="1" thickBot="1" x14ac:dyDescent="0.3">
      <c r="A223" s="52">
        <v>145</v>
      </c>
      <c r="B223" s="53" t="s">
        <v>58</v>
      </c>
      <c r="C223" s="54" t="s">
        <v>240</v>
      </c>
      <c r="D223" s="53" t="s">
        <v>130</v>
      </c>
      <c r="E223" s="54" t="s">
        <v>136</v>
      </c>
      <c r="F223" s="53" t="s">
        <v>61</v>
      </c>
      <c r="G223" s="55" t="s">
        <v>115</v>
      </c>
      <c r="H223" s="56">
        <v>45574</v>
      </c>
      <c r="I223" s="57">
        <v>0.38310185185185186</v>
      </c>
      <c r="J223" s="53" t="s">
        <v>111</v>
      </c>
      <c r="K223" s="54" t="s">
        <v>111</v>
      </c>
      <c r="L223" s="53" t="s">
        <v>242</v>
      </c>
      <c r="M223" s="58" t="s">
        <v>64</v>
      </c>
      <c r="N223" t="str">
        <f t="shared" si="12"/>
        <v>No Run</v>
      </c>
      <c r="O223" t="str">
        <f t="shared" si="11"/>
        <v>N/A</v>
      </c>
      <c r="P223" t="str">
        <f t="shared" si="10"/>
        <v>U1300 R6.4 - NIC5 - QoS - Voltage failure detection</v>
      </c>
    </row>
    <row r="224" spans="1:16" ht="15.75" hidden="1" thickBot="1" x14ac:dyDescent="0.3">
      <c r="A224" s="52">
        <v>77</v>
      </c>
      <c r="B224" s="53" t="s">
        <v>58</v>
      </c>
      <c r="C224" s="54" t="s">
        <v>241</v>
      </c>
      <c r="D224" s="53" t="s">
        <v>130</v>
      </c>
      <c r="E224" s="54" t="s">
        <v>138</v>
      </c>
      <c r="F224" s="53" t="s">
        <v>61</v>
      </c>
      <c r="G224" s="55"/>
      <c r="H224" s="56">
        <v>45574</v>
      </c>
      <c r="I224" s="57">
        <v>0.69101851851851848</v>
      </c>
      <c r="J224" s="53" t="s">
        <v>69</v>
      </c>
      <c r="K224" s="54" t="s">
        <v>69</v>
      </c>
      <c r="L224" s="53" t="s">
        <v>242</v>
      </c>
      <c r="M224" s="58" t="s">
        <v>64</v>
      </c>
      <c r="N224" t="str">
        <f t="shared" si="12"/>
        <v>Executed</v>
      </c>
      <c r="O224" t="str">
        <f t="shared" si="11"/>
        <v>Done</v>
      </c>
      <c r="P224" t="str">
        <f t="shared" si="10"/>
        <v>U1300 R6.4 - NIC3 - Loss of supply - Verify last gasp for multiple meter outage</v>
      </c>
    </row>
    <row r="225" spans="1:16" ht="15.75" hidden="1" thickBot="1" x14ac:dyDescent="0.3">
      <c r="A225" s="52">
        <v>77</v>
      </c>
      <c r="B225" s="53" t="s">
        <v>58</v>
      </c>
      <c r="C225" s="54" t="s">
        <v>240</v>
      </c>
      <c r="D225" s="53" t="s">
        <v>130</v>
      </c>
      <c r="E225" s="54" t="s">
        <v>138</v>
      </c>
      <c r="F225" s="53" t="s">
        <v>61</v>
      </c>
      <c r="G225" s="55"/>
      <c r="H225" s="56">
        <v>45574</v>
      </c>
      <c r="I225" s="57">
        <v>0.68424768518518519</v>
      </c>
      <c r="J225" s="53" t="s">
        <v>69</v>
      </c>
      <c r="K225" s="54" t="s">
        <v>69</v>
      </c>
      <c r="L225" s="53" t="s">
        <v>242</v>
      </c>
      <c r="M225" s="58" t="s">
        <v>64</v>
      </c>
      <c r="N225" t="str">
        <f t="shared" si="12"/>
        <v>Executed</v>
      </c>
      <c r="O225" t="str">
        <f t="shared" si="11"/>
        <v>Done</v>
      </c>
      <c r="P225" t="str">
        <f t="shared" si="10"/>
        <v>U1300 R6.4 - NIC5 - Loss of supply - Verify last gasp for multiple meter outage</v>
      </c>
    </row>
    <row r="226" spans="1:16" ht="15.75" hidden="1" thickBot="1" x14ac:dyDescent="0.3">
      <c r="A226" s="52">
        <v>77</v>
      </c>
      <c r="B226" s="53" t="s">
        <v>58</v>
      </c>
      <c r="C226" s="54" t="s">
        <v>239</v>
      </c>
      <c r="D226" s="53" t="s">
        <v>130</v>
      </c>
      <c r="E226" s="54" t="s">
        <v>138</v>
      </c>
      <c r="F226" s="53" t="s">
        <v>61</v>
      </c>
      <c r="G226" s="55"/>
      <c r="H226" s="56">
        <v>45575</v>
      </c>
      <c r="I226" s="57">
        <v>0.42707175925925928</v>
      </c>
      <c r="J226" s="53" t="s">
        <v>69</v>
      </c>
      <c r="K226" s="54" t="s">
        <v>69</v>
      </c>
      <c r="L226" s="53" t="s">
        <v>238</v>
      </c>
      <c r="M226" s="58" t="s">
        <v>63</v>
      </c>
      <c r="N226" t="str">
        <f t="shared" si="12"/>
        <v>Executed</v>
      </c>
      <c r="O226" t="str">
        <f t="shared" si="11"/>
        <v>Done</v>
      </c>
      <c r="P226" t="str">
        <f t="shared" si="10"/>
        <v>U3400 R6.4 - NIC3 - Loss of supply - Verify last gasp for multiple meter outage</v>
      </c>
    </row>
    <row r="227" spans="1:16" ht="15.75" hidden="1" thickBot="1" x14ac:dyDescent="0.3">
      <c r="A227" s="52">
        <v>77</v>
      </c>
      <c r="B227" s="53" t="s">
        <v>58</v>
      </c>
      <c r="C227" s="54" t="s">
        <v>237</v>
      </c>
      <c r="D227" s="53" t="s">
        <v>130</v>
      </c>
      <c r="E227" s="54" t="s">
        <v>138</v>
      </c>
      <c r="F227" s="53" t="s">
        <v>61</v>
      </c>
      <c r="G227" s="55"/>
      <c r="H227" s="56">
        <v>45574</v>
      </c>
      <c r="I227" s="57">
        <v>0.72770833333333329</v>
      </c>
      <c r="J227" s="53" t="s">
        <v>69</v>
      </c>
      <c r="K227" s="54" t="s">
        <v>69</v>
      </c>
      <c r="L227" s="53" t="s">
        <v>238</v>
      </c>
      <c r="M227" s="58" t="s">
        <v>63</v>
      </c>
      <c r="N227" t="str">
        <f t="shared" si="12"/>
        <v>Executed</v>
      </c>
      <c r="O227" t="str">
        <f t="shared" si="11"/>
        <v>Done</v>
      </c>
      <c r="P227" t="str">
        <f t="shared" si="10"/>
        <v>U3400 R6.4 - NIC5 - Loss of supply - Verify last gasp for multiple meter outage</v>
      </c>
    </row>
    <row r="228" spans="1:16" ht="15.75" hidden="1" thickBot="1" x14ac:dyDescent="0.3">
      <c r="A228" s="52">
        <v>148</v>
      </c>
      <c r="B228" s="53" t="s">
        <v>58</v>
      </c>
      <c r="C228" s="54" t="s">
        <v>239</v>
      </c>
      <c r="D228" s="53" t="s">
        <v>139</v>
      </c>
      <c r="E228" s="54" t="s">
        <v>140</v>
      </c>
      <c r="F228" s="53" t="s">
        <v>61</v>
      </c>
      <c r="G228" s="55"/>
      <c r="H228" s="56">
        <v>45575</v>
      </c>
      <c r="I228" s="57">
        <v>0.72128472222222229</v>
      </c>
      <c r="J228" s="53" t="s">
        <v>69</v>
      </c>
      <c r="K228" s="54" t="s">
        <v>69</v>
      </c>
      <c r="L228" s="53" t="s">
        <v>238</v>
      </c>
      <c r="M228" s="58" t="s">
        <v>63</v>
      </c>
      <c r="N228" t="str">
        <f t="shared" si="12"/>
        <v>Executed</v>
      </c>
      <c r="O228" t="str">
        <f t="shared" si="11"/>
        <v>Done</v>
      </c>
      <c r="P228" t="str">
        <f t="shared" si="10"/>
        <v>U3400 R6.4 - NIC3 - SIQ Profile Sanity Check</v>
      </c>
    </row>
    <row r="229" spans="1:16" ht="15.75" hidden="1" thickBot="1" x14ac:dyDescent="0.3">
      <c r="A229" s="52">
        <v>148</v>
      </c>
      <c r="B229" s="53" t="s">
        <v>58</v>
      </c>
      <c r="C229" s="54" t="s">
        <v>241</v>
      </c>
      <c r="D229" s="53" t="s">
        <v>139</v>
      </c>
      <c r="E229" s="54" t="s">
        <v>140</v>
      </c>
      <c r="F229" s="53" t="s">
        <v>61</v>
      </c>
      <c r="G229" s="55"/>
      <c r="H229" s="56">
        <v>45574</v>
      </c>
      <c r="I229" s="57">
        <v>0.53675925925925927</v>
      </c>
      <c r="J229" s="53" t="s">
        <v>69</v>
      </c>
      <c r="K229" s="54" t="s">
        <v>69</v>
      </c>
      <c r="L229" s="53" t="s">
        <v>242</v>
      </c>
      <c r="M229" s="58" t="s">
        <v>64</v>
      </c>
      <c r="N229" t="str">
        <f t="shared" si="12"/>
        <v>Executed</v>
      </c>
      <c r="O229" t="str">
        <f t="shared" si="11"/>
        <v>Done</v>
      </c>
      <c r="P229" t="str">
        <f t="shared" si="10"/>
        <v>U1300 R6.4 - NIC3 - SIQ Profile Sanity Check</v>
      </c>
    </row>
    <row r="230" spans="1:16" ht="15.75" hidden="1" thickBot="1" x14ac:dyDescent="0.3">
      <c r="A230" s="52">
        <v>148</v>
      </c>
      <c r="B230" s="53" t="s">
        <v>58</v>
      </c>
      <c r="C230" s="54" t="s">
        <v>237</v>
      </c>
      <c r="D230" s="53" t="s">
        <v>139</v>
      </c>
      <c r="E230" s="54" t="s">
        <v>140</v>
      </c>
      <c r="F230" s="53" t="s">
        <v>61</v>
      </c>
      <c r="G230" s="55"/>
      <c r="H230" s="56">
        <v>45575</v>
      </c>
      <c r="I230" s="57">
        <v>0.72121527777777772</v>
      </c>
      <c r="J230" s="53" t="s">
        <v>69</v>
      </c>
      <c r="K230" s="54" t="s">
        <v>69</v>
      </c>
      <c r="L230" s="53" t="s">
        <v>238</v>
      </c>
      <c r="M230" s="58" t="s">
        <v>63</v>
      </c>
      <c r="N230" t="str">
        <f t="shared" si="12"/>
        <v>Executed</v>
      </c>
      <c r="O230" t="str">
        <f t="shared" si="11"/>
        <v>Done</v>
      </c>
      <c r="P230" t="str">
        <f t="shared" si="10"/>
        <v>U3400 R6.4 - NIC5 - SIQ Profile Sanity Check</v>
      </c>
    </row>
    <row r="231" spans="1:16" ht="15.75" hidden="1" thickBot="1" x14ac:dyDescent="0.3">
      <c r="A231" s="52">
        <v>148</v>
      </c>
      <c r="B231" s="53" t="s">
        <v>58</v>
      </c>
      <c r="C231" s="54" t="s">
        <v>240</v>
      </c>
      <c r="D231" s="53" t="s">
        <v>139</v>
      </c>
      <c r="E231" s="54" t="s">
        <v>140</v>
      </c>
      <c r="F231" s="53" t="s">
        <v>61</v>
      </c>
      <c r="G231" s="55"/>
      <c r="H231" s="56">
        <v>45574</v>
      </c>
      <c r="I231" s="57">
        <v>0.55226851851851855</v>
      </c>
      <c r="J231" s="53" t="s">
        <v>69</v>
      </c>
      <c r="K231" s="54" t="s">
        <v>69</v>
      </c>
      <c r="L231" s="53" t="s">
        <v>242</v>
      </c>
      <c r="M231" s="58" t="s">
        <v>64</v>
      </c>
      <c r="N231" t="str">
        <f t="shared" si="12"/>
        <v>Executed</v>
      </c>
      <c r="O231" t="str">
        <f t="shared" si="11"/>
        <v>Done</v>
      </c>
      <c r="P231" t="str">
        <f t="shared" si="10"/>
        <v>U1300 R6.4 - NIC5 - SIQ Profile Sanity Check</v>
      </c>
    </row>
    <row r="232" spans="1:16" ht="15.75" thickBot="1" x14ac:dyDescent="0.3">
      <c r="A232" s="52">
        <v>106</v>
      </c>
      <c r="B232" s="53" t="s">
        <v>58</v>
      </c>
      <c r="C232" s="54" t="s">
        <v>237</v>
      </c>
      <c r="D232" s="53" t="s">
        <v>141</v>
      </c>
      <c r="E232" s="54" t="s">
        <v>142</v>
      </c>
      <c r="F232" s="53" t="s">
        <v>61</v>
      </c>
      <c r="G232" s="55"/>
      <c r="H232" s="56">
        <v>45579</v>
      </c>
      <c r="I232" s="57">
        <v>0.65467592592592594</v>
      </c>
      <c r="J232" s="53" t="s">
        <v>62</v>
      </c>
      <c r="K232" s="54" t="s">
        <v>69</v>
      </c>
      <c r="L232" s="53" t="s">
        <v>238</v>
      </c>
      <c r="M232" s="58" t="s">
        <v>63</v>
      </c>
      <c r="N232" t="str">
        <f t="shared" si="12"/>
        <v>Executed</v>
      </c>
      <c r="O232" t="str">
        <f t="shared" si="11"/>
        <v>Done</v>
      </c>
      <c r="P232" t="str">
        <f t="shared" si="10"/>
        <v>U3400 R6.4 - NIC5 - HCM -  Display meter consumption on IHD</v>
      </c>
    </row>
    <row r="233" spans="1:16" ht="15.75" thickBot="1" x14ac:dyDescent="0.3">
      <c r="A233" s="52">
        <v>106</v>
      </c>
      <c r="B233" s="53" t="s">
        <v>58</v>
      </c>
      <c r="C233" s="54" t="s">
        <v>239</v>
      </c>
      <c r="D233" s="53" t="s">
        <v>141</v>
      </c>
      <c r="E233" s="54" t="s">
        <v>142</v>
      </c>
      <c r="F233" s="53" t="s">
        <v>61</v>
      </c>
      <c r="G233" s="55"/>
      <c r="H233" s="56">
        <v>45579</v>
      </c>
      <c r="I233" s="57">
        <v>0.62938657407407406</v>
      </c>
      <c r="J233" s="53" t="s">
        <v>62</v>
      </c>
      <c r="K233" s="54" t="s">
        <v>143</v>
      </c>
      <c r="L233" s="53" t="s">
        <v>238</v>
      </c>
      <c r="M233" s="58" t="s">
        <v>63</v>
      </c>
      <c r="N233" t="str">
        <f t="shared" si="12"/>
        <v>No Run</v>
      </c>
      <c r="O233" t="str">
        <f t="shared" si="11"/>
        <v>Blocked</v>
      </c>
      <c r="P233" t="str">
        <f t="shared" si="10"/>
        <v>U3400 R6.4 - NIC3 - HCM -  Display meter consumption on IHD</v>
      </c>
    </row>
    <row r="234" spans="1:16" ht="29.25" thickBot="1" x14ac:dyDescent="0.3">
      <c r="A234" s="52">
        <v>106</v>
      </c>
      <c r="B234" s="53" t="s">
        <v>58</v>
      </c>
      <c r="C234" s="54" t="s">
        <v>240</v>
      </c>
      <c r="D234" s="53" t="s">
        <v>141</v>
      </c>
      <c r="E234" s="54" t="s">
        <v>142</v>
      </c>
      <c r="F234" s="53" t="s">
        <v>61</v>
      </c>
      <c r="G234" s="55" t="s">
        <v>144</v>
      </c>
      <c r="H234" s="56">
        <v>45580</v>
      </c>
      <c r="I234" s="57">
        <v>0.60618055555555561</v>
      </c>
      <c r="J234" s="53" t="s">
        <v>62</v>
      </c>
      <c r="K234" s="54" t="s">
        <v>62</v>
      </c>
      <c r="L234" s="53" t="s">
        <v>242</v>
      </c>
      <c r="M234" s="58" t="s">
        <v>64</v>
      </c>
      <c r="N234" t="str">
        <f t="shared" si="12"/>
        <v>RBT</v>
      </c>
      <c r="O234" t="str">
        <f t="shared" si="11"/>
        <v>Done</v>
      </c>
      <c r="P234" t="str">
        <f t="shared" si="10"/>
        <v>U1300 R6.4 - NIC5 - HCM -  Display meter consumption on IHD</v>
      </c>
    </row>
    <row r="235" spans="1:16" ht="15.75" thickBot="1" x14ac:dyDescent="0.3">
      <c r="A235" s="52">
        <v>106</v>
      </c>
      <c r="B235" s="53" t="s">
        <v>58</v>
      </c>
      <c r="C235" s="54" t="s">
        <v>241</v>
      </c>
      <c r="D235" s="53" t="s">
        <v>141</v>
      </c>
      <c r="E235" s="54" t="s">
        <v>142</v>
      </c>
      <c r="F235" s="53" t="s">
        <v>61</v>
      </c>
      <c r="G235" s="55"/>
      <c r="H235" s="56">
        <v>45579</v>
      </c>
      <c r="I235" s="57">
        <v>0.63621527777777775</v>
      </c>
      <c r="J235" s="53" t="s">
        <v>62</v>
      </c>
      <c r="K235" s="54" t="s">
        <v>69</v>
      </c>
      <c r="L235" s="53" t="s">
        <v>242</v>
      </c>
      <c r="M235" s="58" t="s">
        <v>64</v>
      </c>
      <c r="N235" t="str">
        <f t="shared" si="12"/>
        <v>Executed</v>
      </c>
      <c r="O235" t="str">
        <f t="shared" si="11"/>
        <v>Done</v>
      </c>
      <c r="P235" t="str">
        <f t="shared" si="10"/>
        <v>U1300 R6.4 - NIC3 - HCM -  Display meter consumption on IHD</v>
      </c>
    </row>
    <row r="236" spans="1:16" ht="15.75" thickBot="1" x14ac:dyDescent="0.3">
      <c r="A236" s="52">
        <v>104</v>
      </c>
      <c r="B236" s="53" t="s">
        <v>58</v>
      </c>
      <c r="C236" s="54" t="s">
        <v>241</v>
      </c>
      <c r="D236" s="53" t="s">
        <v>141</v>
      </c>
      <c r="E236" s="54" t="s">
        <v>145</v>
      </c>
      <c r="F236" s="53" t="s">
        <v>91</v>
      </c>
      <c r="G236" s="55"/>
      <c r="H236" s="56">
        <v>45559</v>
      </c>
      <c r="I236" s="57">
        <v>0.71783564814814815</v>
      </c>
      <c r="J236" s="53" t="s">
        <v>62</v>
      </c>
      <c r="K236" s="54" t="s">
        <v>62</v>
      </c>
      <c r="L236" s="53" t="s">
        <v>238</v>
      </c>
      <c r="M236" s="58" t="s">
        <v>64</v>
      </c>
      <c r="N236" t="str">
        <f t="shared" ref="N236:N299" si="13">IF(OR(K236="No Run",K236="Blocked",K236="N/A"),"No Run",IF(OR(K236="RBT"),"RBT","Executed"))</f>
        <v>RBT</v>
      </c>
      <c r="O236" t="str">
        <f t="shared" si="11"/>
        <v>Done</v>
      </c>
      <c r="P236" t="str">
        <f t="shared" ref="P236:P299" si="14">CONCATENATE(C236," - ",E236)</f>
        <v>U1300 R6.4 - NIC3 - HCM -  Support for 2E meters metering cluster</v>
      </c>
    </row>
    <row r="237" spans="1:16" ht="15.75" thickBot="1" x14ac:dyDescent="0.3">
      <c r="A237" s="52">
        <v>104</v>
      </c>
      <c r="B237" s="53" t="s">
        <v>58</v>
      </c>
      <c r="C237" s="54" t="s">
        <v>240</v>
      </c>
      <c r="D237" s="53" t="s">
        <v>141</v>
      </c>
      <c r="E237" s="54" t="s">
        <v>145</v>
      </c>
      <c r="F237" s="53" t="s">
        <v>91</v>
      </c>
      <c r="G237" s="55"/>
      <c r="H237" s="56">
        <v>45559</v>
      </c>
      <c r="I237" s="57">
        <v>0.71902777777777782</v>
      </c>
      <c r="J237" s="53" t="s">
        <v>62</v>
      </c>
      <c r="K237" s="54" t="s">
        <v>62</v>
      </c>
      <c r="L237" s="53" t="s">
        <v>238</v>
      </c>
      <c r="M237" s="58" t="s">
        <v>64</v>
      </c>
      <c r="N237" t="str">
        <f t="shared" si="13"/>
        <v>RBT</v>
      </c>
      <c r="O237" t="str">
        <f t="shared" si="11"/>
        <v>Done</v>
      </c>
      <c r="P237" t="str">
        <f t="shared" si="14"/>
        <v>U1300 R6.4 - NIC5 - HCM -  Support for 2E meters metering cluster</v>
      </c>
    </row>
    <row r="238" spans="1:16" ht="15.75" thickBot="1" x14ac:dyDescent="0.3">
      <c r="A238" s="52">
        <v>104</v>
      </c>
      <c r="B238" s="53" t="s">
        <v>58</v>
      </c>
      <c r="C238" s="54" t="s">
        <v>239</v>
      </c>
      <c r="D238" s="53" t="s">
        <v>141</v>
      </c>
      <c r="E238" s="54" t="s">
        <v>145</v>
      </c>
      <c r="F238" s="53" t="s">
        <v>91</v>
      </c>
      <c r="G238" s="55"/>
      <c r="H238" s="56">
        <v>45559</v>
      </c>
      <c r="I238" s="57">
        <v>0.71937499999999999</v>
      </c>
      <c r="J238" s="53" t="s">
        <v>62</v>
      </c>
      <c r="K238" s="54" t="s">
        <v>62</v>
      </c>
      <c r="L238" s="53" t="s">
        <v>238</v>
      </c>
      <c r="M238" s="58" t="s">
        <v>63</v>
      </c>
      <c r="N238" t="str">
        <f t="shared" si="13"/>
        <v>RBT</v>
      </c>
      <c r="O238" t="str">
        <f t="shared" si="11"/>
        <v>Done</v>
      </c>
      <c r="P238" t="str">
        <f t="shared" si="14"/>
        <v>U3400 R6.4 - NIC3 - HCM -  Support for 2E meters metering cluster</v>
      </c>
    </row>
    <row r="239" spans="1:16" ht="15.75" thickBot="1" x14ac:dyDescent="0.3">
      <c r="A239" s="52">
        <v>104</v>
      </c>
      <c r="B239" s="53" t="s">
        <v>58</v>
      </c>
      <c r="C239" s="54" t="s">
        <v>237</v>
      </c>
      <c r="D239" s="53" t="s">
        <v>141</v>
      </c>
      <c r="E239" s="54" t="s">
        <v>145</v>
      </c>
      <c r="F239" s="53" t="s">
        <v>91</v>
      </c>
      <c r="G239" s="55"/>
      <c r="H239" s="56">
        <v>45559</v>
      </c>
      <c r="I239" s="57">
        <v>0.7203356481481481</v>
      </c>
      <c r="J239" s="53" t="s">
        <v>62</v>
      </c>
      <c r="K239" s="54" t="s">
        <v>62</v>
      </c>
      <c r="L239" s="53" t="s">
        <v>238</v>
      </c>
      <c r="M239" s="58" t="s">
        <v>63</v>
      </c>
      <c r="N239" t="str">
        <f t="shared" si="13"/>
        <v>RBT</v>
      </c>
      <c r="O239" t="str">
        <f t="shared" si="11"/>
        <v>Done</v>
      </c>
      <c r="P239" t="str">
        <f t="shared" si="14"/>
        <v>U3400 R6.4 - NIC5 - HCM -  Support for 2E meters metering cluster</v>
      </c>
    </row>
    <row r="240" spans="1:16" ht="15.75" thickBot="1" x14ac:dyDescent="0.3">
      <c r="A240" s="52">
        <v>93</v>
      </c>
      <c r="B240" s="53" t="s">
        <v>58</v>
      </c>
      <c r="C240" s="54" t="s">
        <v>241</v>
      </c>
      <c r="D240" s="53" t="s">
        <v>141</v>
      </c>
      <c r="E240" s="54" t="s">
        <v>146</v>
      </c>
      <c r="F240" s="53" t="s">
        <v>68</v>
      </c>
      <c r="G240" s="55"/>
      <c r="H240" s="56">
        <v>45559</v>
      </c>
      <c r="I240" s="57">
        <v>0.71818287037037043</v>
      </c>
      <c r="J240" s="53" t="s">
        <v>62</v>
      </c>
      <c r="K240" s="54" t="s">
        <v>62</v>
      </c>
      <c r="L240" s="53" t="s">
        <v>238</v>
      </c>
      <c r="M240" s="58" t="s">
        <v>64</v>
      </c>
      <c r="N240" t="str">
        <f t="shared" si="13"/>
        <v>RBT</v>
      </c>
      <c r="O240" t="str">
        <f t="shared" si="11"/>
        <v>Done</v>
      </c>
      <c r="P240" t="str">
        <f t="shared" si="14"/>
        <v>U1300 R6.4 - NIC3 - HCM - Import IHD</v>
      </c>
    </row>
    <row r="241" spans="1:16" ht="15.75" thickBot="1" x14ac:dyDescent="0.3">
      <c r="A241" s="52">
        <v>94</v>
      </c>
      <c r="B241" s="53" t="s">
        <v>58</v>
      </c>
      <c r="C241" s="54" t="s">
        <v>241</v>
      </c>
      <c r="D241" s="53" t="s">
        <v>141</v>
      </c>
      <c r="E241" s="54" t="s">
        <v>147</v>
      </c>
      <c r="F241" s="53" t="s">
        <v>68</v>
      </c>
      <c r="G241" s="55"/>
      <c r="H241" s="56">
        <v>45559</v>
      </c>
      <c r="I241" s="57">
        <v>0.7181481481481482</v>
      </c>
      <c r="J241" s="53" t="s">
        <v>62</v>
      </c>
      <c r="K241" s="54" t="s">
        <v>62</v>
      </c>
      <c r="L241" s="53" t="s">
        <v>238</v>
      </c>
      <c r="M241" s="58" t="s">
        <v>64</v>
      </c>
      <c r="N241" t="str">
        <f t="shared" si="13"/>
        <v>RBT</v>
      </c>
      <c r="O241" t="str">
        <f t="shared" si="11"/>
        <v>Done</v>
      </c>
      <c r="P241" t="str">
        <f t="shared" si="14"/>
        <v>U1300 R6.4 - NIC3 - HCM - Import ESI</v>
      </c>
    </row>
    <row r="242" spans="1:16" ht="15.75" thickBot="1" x14ac:dyDescent="0.3">
      <c r="A242" s="52">
        <v>95</v>
      </c>
      <c r="B242" s="53" t="s">
        <v>58</v>
      </c>
      <c r="C242" s="54" t="s">
        <v>241</v>
      </c>
      <c r="D242" s="53" t="s">
        <v>141</v>
      </c>
      <c r="E242" s="54" t="s">
        <v>148</v>
      </c>
      <c r="F242" s="53" t="s">
        <v>68</v>
      </c>
      <c r="G242" s="55"/>
      <c r="H242" s="56">
        <v>45559</v>
      </c>
      <c r="I242" s="57">
        <v>0.71824074074074085</v>
      </c>
      <c r="J242" s="53" t="s">
        <v>62</v>
      </c>
      <c r="K242" s="54" t="s">
        <v>62</v>
      </c>
      <c r="L242" s="53" t="s">
        <v>238</v>
      </c>
      <c r="M242" s="58" t="s">
        <v>64</v>
      </c>
      <c r="N242" t="str">
        <f t="shared" si="13"/>
        <v>RBT</v>
      </c>
      <c r="O242" t="str">
        <f t="shared" si="11"/>
        <v>Done</v>
      </c>
      <c r="P242" t="str">
        <f t="shared" si="14"/>
        <v>U1300 R6.4 - NIC3 - HCM - Sync ESI</v>
      </c>
    </row>
    <row r="243" spans="1:16" ht="15.75" thickBot="1" x14ac:dyDescent="0.3">
      <c r="A243" s="52">
        <v>96</v>
      </c>
      <c r="B243" s="53" t="s">
        <v>58</v>
      </c>
      <c r="C243" s="54" t="s">
        <v>241</v>
      </c>
      <c r="D243" s="53" t="s">
        <v>141</v>
      </c>
      <c r="E243" s="54" t="s">
        <v>149</v>
      </c>
      <c r="F243" s="53" t="s">
        <v>68</v>
      </c>
      <c r="G243" s="55"/>
      <c r="H243" s="56">
        <v>45559</v>
      </c>
      <c r="I243" s="57">
        <v>0.71821759259259255</v>
      </c>
      <c r="J243" s="53" t="s">
        <v>62</v>
      </c>
      <c r="K243" s="54" t="s">
        <v>62</v>
      </c>
      <c r="L243" s="53" t="s">
        <v>238</v>
      </c>
      <c r="M243" s="58" t="s">
        <v>64</v>
      </c>
      <c r="N243" t="str">
        <f t="shared" si="13"/>
        <v>RBT</v>
      </c>
      <c r="O243" t="str">
        <f t="shared" si="11"/>
        <v>Done</v>
      </c>
      <c r="P243" t="str">
        <f t="shared" si="14"/>
        <v>U1300 R6.4 - NIC3 - HCM - Provision ESI</v>
      </c>
    </row>
    <row r="244" spans="1:16" ht="15.75" thickBot="1" x14ac:dyDescent="0.3">
      <c r="A244" s="52">
        <v>97</v>
      </c>
      <c r="B244" s="53" t="s">
        <v>58</v>
      </c>
      <c r="C244" s="54" t="s">
        <v>241</v>
      </c>
      <c r="D244" s="53" t="s">
        <v>141</v>
      </c>
      <c r="E244" s="54" t="s">
        <v>150</v>
      </c>
      <c r="F244" s="53" t="s">
        <v>68</v>
      </c>
      <c r="G244" s="55"/>
      <c r="H244" s="56">
        <v>45559</v>
      </c>
      <c r="I244" s="57">
        <v>0.71791666666666665</v>
      </c>
      <c r="J244" s="53" t="s">
        <v>62</v>
      </c>
      <c r="K244" s="54" t="s">
        <v>62</v>
      </c>
      <c r="L244" s="53" t="s">
        <v>238</v>
      </c>
      <c r="M244" s="58" t="s">
        <v>64</v>
      </c>
      <c r="N244" t="str">
        <f t="shared" si="13"/>
        <v>RBT</v>
      </c>
      <c r="O244" t="str">
        <f t="shared" si="11"/>
        <v>Done</v>
      </c>
      <c r="P244" t="str">
        <f t="shared" si="14"/>
        <v>U1300 R6.4 - NIC3 - HCM -  Associate IHD to ESI</v>
      </c>
    </row>
    <row r="245" spans="1:16" ht="15.75" thickBot="1" x14ac:dyDescent="0.3">
      <c r="A245" s="52">
        <v>98</v>
      </c>
      <c r="B245" s="53" t="s">
        <v>58</v>
      </c>
      <c r="C245" s="54" t="s">
        <v>241</v>
      </c>
      <c r="D245" s="53" t="s">
        <v>141</v>
      </c>
      <c r="E245" s="54" t="s">
        <v>151</v>
      </c>
      <c r="F245" s="53" t="s">
        <v>68</v>
      </c>
      <c r="G245" s="55"/>
      <c r="H245" s="56">
        <v>45559</v>
      </c>
      <c r="I245" s="57">
        <v>0.71805555555555556</v>
      </c>
      <c r="J245" s="53" t="s">
        <v>62</v>
      </c>
      <c r="K245" s="54" t="s">
        <v>62</v>
      </c>
      <c r="L245" s="53" t="s">
        <v>238</v>
      </c>
      <c r="M245" s="58" t="s">
        <v>64</v>
      </c>
      <c r="N245" t="str">
        <f t="shared" si="13"/>
        <v>RBT</v>
      </c>
      <c r="O245" t="str">
        <f t="shared" si="11"/>
        <v>Done</v>
      </c>
      <c r="P245" t="str">
        <f t="shared" si="14"/>
        <v>U1300 R6.4 - NIC3 - HCM -  Join IHD to ESI</v>
      </c>
    </row>
    <row r="246" spans="1:16" ht="15.75" thickBot="1" x14ac:dyDescent="0.3">
      <c r="A246" s="52">
        <v>99</v>
      </c>
      <c r="B246" s="53" t="s">
        <v>58</v>
      </c>
      <c r="C246" s="54" t="s">
        <v>241</v>
      </c>
      <c r="D246" s="53" t="s">
        <v>141</v>
      </c>
      <c r="E246" s="54" t="s">
        <v>152</v>
      </c>
      <c r="F246" s="53" t="s">
        <v>68</v>
      </c>
      <c r="G246" s="55"/>
      <c r="H246" s="56">
        <v>45559</v>
      </c>
      <c r="I246" s="57">
        <v>0.71809027777777779</v>
      </c>
      <c r="J246" s="53" t="s">
        <v>62</v>
      </c>
      <c r="K246" s="54" t="s">
        <v>62</v>
      </c>
      <c r="L246" s="53" t="s">
        <v>238</v>
      </c>
      <c r="M246" s="58" t="s">
        <v>64</v>
      </c>
      <c r="N246" t="str">
        <f t="shared" si="13"/>
        <v>RBT</v>
      </c>
      <c r="O246" t="str">
        <f t="shared" si="11"/>
        <v>Done</v>
      </c>
      <c r="P246" t="str">
        <f t="shared" si="14"/>
        <v>U1300 R6.4 - NIC3 - HCM -  Ping IHD via ESI</v>
      </c>
    </row>
    <row r="247" spans="1:16" ht="15.75" thickBot="1" x14ac:dyDescent="0.3">
      <c r="A247" s="52">
        <v>101</v>
      </c>
      <c r="B247" s="53" t="s">
        <v>58</v>
      </c>
      <c r="C247" s="54" t="s">
        <v>241</v>
      </c>
      <c r="D247" s="53" t="s">
        <v>141</v>
      </c>
      <c r="E247" s="54" t="s">
        <v>153</v>
      </c>
      <c r="F247" s="53" t="s">
        <v>68</v>
      </c>
      <c r="G247" s="55"/>
      <c r="H247" s="56">
        <v>45559</v>
      </c>
      <c r="I247" s="57">
        <v>0.71812500000000001</v>
      </c>
      <c r="J247" s="53" t="s">
        <v>62</v>
      </c>
      <c r="K247" s="54" t="s">
        <v>62</v>
      </c>
      <c r="L247" s="53" t="s">
        <v>238</v>
      </c>
      <c r="M247" s="58" t="s">
        <v>64</v>
      </c>
      <c r="N247" t="str">
        <f t="shared" si="13"/>
        <v>RBT</v>
      </c>
      <c r="O247" t="str">
        <f t="shared" si="11"/>
        <v>Done</v>
      </c>
      <c r="P247" t="str">
        <f t="shared" si="14"/>
        <v>U1300 R6.4 - NIC3 - HCM -  Unjoin IHD to ESI</v>
      </c>
    </row>
    <row r="248" spans="1:16" ht="15.75" thickBot="1" x14ac:dyDescent="0.3">
      <c r="A248" s="52">
        <v>102</v>
      </c>
      <c r="B248" s="53" t="s">
        <v>58</v>
      </c>
      <c r="C248" s="54" t="s">
        <v>241</v>
      </c>
      <c r="D248" s="53" t="s">
        <v>141</v>
      </c>
      <c r="E248" s="54" t="s">
        <v>154</v>
      </c>
      <c r="F248" s="53" t="s">
        <v>91</v>
      </c>
      <c r="G248" s="55"/>
      <c r="H248" s="56">
        <v>45559</v>
      </c>
      <c r="I248" s="57">
        <v>0.7179861111111111</v>
      </c>
      <c r="J248" s="53" t="s">
        <v>62</v>
      </c>
      <c r="K248" s="54" t="s">
        <v>62</v>
      </c>
      <c r="L248" s="53" t="s">
        <v>238</v>
      </c>
      <c r="M248" s="58" t="s">
        <v>64</v>
      </c>
      <c r="N248" t="str">
        <f t="shared" si="13"/>
        <v>RBT</v>
      </c>
      <c r="O248" t="str">
        <f t="shared" si="11"/>
        <v>Done</v>
      </c>
      <c r="P248" t="str">
        <f t="shared" si="14"/>
        <v>U1300 R6.4 - NIC3 - HCM -  HAN secure key establishment</v>
      </c>
    </row>
    <row r="249" spans="1:16" ht="15.75" thickBot="1" x14ac:dyDescent="0.3">
      <c r="A249" s="52">
        <v>103</v>
      </c>
      <c r="B249" s="53" t="s">
        <v>58</v>
      </c>
      <c r="C249" s="54" t="s">
        <v>241</v>
      </c>
      <c r="D249" s="53" t="s">
        <v>141</v>
      </c>
      <c r="E249" s="54" t="s">
        <v>155</v>
      </c>
      <c r="F249" s="53" t="s">
        <v>91</v>
      </c>
      <c r="G249" s="55"/>
      <c r="H249" s="56">
        <v>45559</v>
      </c>
      <c r="I249" s="57">
        <v>0.71795138888888888</v>
      </c>
      <c r="J249" s="53" t="s">
        <v>62</v>
      </c>
      <c r="K249" s="54" t="s">
        <v>62</v>
      </c>
      <c r="L249" s="53" t="s">
        <v>238</v>
      </c>
      <c r="M249" s="58" t="s">
        <v>64</v>
      </c>
      <c r="N249" t="str">
        <f t="shared" si="13"/>
        <v>RBT</v>
      </c>
      <c r="O249" t="str">
        <f t="shared" si="11"/>
        <v>Done</v>
      </c>
      <c r="P249" t="str">
        <f t="shared" si="14"/>
        <v>U1300 R6.4 - NIC3 - HCM -  Enroll ESI to HCM program</v>
      </c>
    </row>
    <row r="250" spans="1:16" ht="15.75" thickBot="1" x14ac:dyDescent="0.3">
      <c r="A250" s="52">
        <v>105</v>
      </c>
      <c r="B250" s="53" t="s">
        <v>58</v>
      </c>
      <c r="C250" s="54" t="s">
        <v>241</v>
      </c>
      <c r="D250" s="53" t="s">
        <v>141</v>
      </c>
      <c r="E250" s="54" t="s">
        <v>156</v>
      </c>
      <c r="F250" s="53" t="s">
        <v>68</v>
      </c>
      <c r="G250" s="55"/>
      <c r="H250" s="56">
        <v>45559</v>
      </c>
      <c r="I250" s="57">
        <v>0.71826388888888892</v>
      </c>
      <c r="J250" s="53" t="s">
        <v>62</v>
      </c>
      <c r="K250" s="54" t="s">
        <v>62</v>
      </c>
      <c r="L250" s="53" t="s">
        <v>238</v>
      </c>
      <c r="M250" s="58" t="s">
        <v>64</v>
      </c>
      <c r="N250" t="str">
        <f t="shared" si="13"/>
        <v>RBT</v>
      </c>
      <c r="O250" t="str">
        <f t="shared" si="11"/>
        <v>Done</v>
      </c>
      <c r="P250" t="str">
        <f t="shared" si="14"/>
        <v>U1300 R6.4 - NIC3 - NC -  HAN radio diagnostic commands</v>
      </c>
    </row>
    <row r="251" spans="1:16" ht="15.75" thickBot="1" x14ac:dyDescent="0.3">
      <c r="A251" s="52">
        <v>93</v>
      </c>
      <c r="B251" s="53" t="s">
        <v>58</v>
      </c>
      <c r="C251" s="54" t="s">
        <v>240</v>
      </c>
      <c r="D251" s="53" t="s">
        <v>141</v>
      </c>
      <c r="E251" s="54" t="s">
        <v>146</v>
      </c>
      <c r="F251" s="53" t="s">
        <v>68</v>
      </c>
      <c r="G251" s="55"/>
      <c r="H251" s="56">
        <v>45559</v>
      </c>
      <c r="I251" s="57">
        <v>0.71866898148148151</v>
      </c>
      <c r="J251" s="53" t="s">
        <v>62</v>
      </c>
      <c r="K251" s="54" t="s">
        <v>62</v>
      </c>
      <c r="L251" s="53" t="s">
        <v>238</v>
      </c>
      <c r="M251" s="58" t="s">
        <v>64</v>
      </c>
      <c r="N251" t="str">
        <f t="shared" si="13"/>
        <v>RBT</v>
      </c>
      <c r="O251" t="str">
        <f t="shared" si="11"/>
        <v>Done</v>
      </c>
      <c r="P251" t="str">
        <f t="shared" si="14"/>
        <v>U1300 R6.4 - NIC5 - HCM - Import IHD</v>
      </c>
    </row>
    <row r="252" spans="1:16" ht="15.75" thickBot="1" x14ac:dyDescent="0.3">
      <c r="A252" s="52">
        <v>94</v>
      </c>
      <c r="B252" s="53" t="s">
        <v>58</v>
      </c>
      <c r="C252" s="54" t="s">
        <v>240</v>
      </c>
      <c r="D252" s="53" t="s">
        <v>141</v>
      </c>
      <c r="E252" s="54" t="s">
        <v>147</v>
      </c>
      <c r="F252" s="53" t="s">
        <v>68</v>
      </c>
      <c r="G252" s="55"/>
      <c r="H252" s="56">
        <v>45559</v>
      </c>
      <c r="I252" s="57">
        <v>0.71877314814814808</v>
      </c>
      <c r="J252" s="53" t="s">
        <v>62</v>
      </c>
      <c r="K252" s="54" t="s">
        <v>62</v>
      </c>
      <c r="L252" s="53" t="s">
        <v>238</v>
      </c>
      <c r="M252" s="58" t="s">
        <v>64</v>
      </c>
      <c r="N252" t="str">
        <f t="shared" si="13"/>
        <v>RBT</v>
      </c>
      <c r="O252" t="str">
        <f t="shared" si="11"/>
        <v>Done</v>
      </c>
      <c r="P252" t="str">
        <f t="shared" si="14"/>
        <v>U1300 R6.4 - NIC5 - HCM - Import ESI</v>
      </c>
    </row>
    <row r="253" spans="1:16" ht="15.75" thickBot="1" x14ac:dyDescent="0.3">
      <c r="A253" s="52">
        <v>95</v>
      </c>
      <c r="B253" s="53" t="s">
        <v>58</v>
      </c>
      <c r="C253" s="54" t="s">
        <v>240</v>
      </c>
      <c r="D253" s="53" t="s">
        <v>141</v>
      </c>
      <c r="E253" s="54" t="s">
        <v>148</v>
      </c>
      <c r="F253" s="53" t="s">
        <v>68</v>
      </c>
      <c r="G253" s="55"/>
      <c r="H253" s="56">
        <v>45559</v>
      </c>
      <c r="I253" s="57">
        <v>0.71891203703703699</v>
      </c>
      <c r="J253" s="53" t="s">
        <v>62</v>
      </c>
      <c r="K253" s="54" t="s">
        <v>62</v>
      </c>
      <c r="L253" s="53" t="s">
        <v>238</v>
      </c>
      <c r="M253" s="58" t="s">
        <v>64</v>
      </c>
      <c r="N253" t="str">
        <f t="shared" si="13"/>
        <v>RBT</v>
      </c>
      <c r="O253" t="str">
        <f t="shared" si="11"/>
        <v>Done</v>
      </c>
      <c r="P253" t="str">
        <f t="shared" si="14"/>
        <v>U1300 R6.4 - NIC5 - HCM - Sync ESI</v>
      </c>
    </row>
    <row r="254" spans="1:16" ht="15.75" thickBot="1" x14ac:dyDescent="0.3">
      <c r="A254" s="52">
        <v>96</v>
      </c>
      <c r="B254" s="53" t="s">
        <v>58</v>
      </c>
      <c r="C254" s="54" t="s">
        <v>240</v>
      </c>
      <c r="D254" s="53" t="s">
        <v>141</v>
      </c>
      <c r="E254" s="54" t="s">
        <v>149</v>
      </c>
      <c r="F254" s="53" t="s">
        <v>68</v>
      </c>
      <c r="G254" s="55"/>
      <c r="H254" s="56">
        <v>45559</v>
      </c>
      <c r="I254" s="57">
        <v>0.71865740740740736</v>
      </c>
      <c r="J254" s="53" t="s">
        <v>62</v>
      </c>
      <c r="K254" s="54" t="s">
        <v>62</v>
      </c>
      <c r="L254" s="53" t="s">
        <v>238</v>
      </c>
      <c r="M254" s="58" t="s">
        <v>64</v>
      </c>
      <c r="N254" t="str">
        <f t="shared" si="13"/>
        <v>RBT</v>
      </c>
      <c r="O254" t="str">
        <f t="shared" si="11"/>
        <v>Done</v>
      </c>
      <c r="P254" t="str">
        <f t="shared" si="14"/>
        <v>U1300 R6.4 - NIC5 - HCM - Provision ESI</v>
      </c>
    </row>
    <row r="255" spans="1:16" ht="15.75" thickBot="1" x14ac:dyDescent="0.3">
      <c r="A255" s="52">
        <v>97</v>
      </c>
      <c r="B255" s="53" t="s">
        <v>58</v>
      </c>
      <c r="C255" s="54" t="s">
        <v>240</v>
      </c>
      <c r="D255" s="53" t="s">
        <v>141</v>
      </c>
      <c r="E255" s="54" t="s">
        <v>150</v>
      </c>
      <c r="F255" s="53" t="s">
        <v>68</v>
      </c>
      <c r="G255" s="55"/>
      <c r="H255" s="56">
        <v>45559</v>
      </c>
      <c r="I255" s="57">
        <v>0.71903935185185175</v>
      </c>
      <c r="J255" s="53" t="s">
        <v>62</v>
      </c>
      <c r="K255" s="54" t="s">
        <v>62</v>
      </c>
      <c r="L255" s="53" t="s">
        <v>238</v>
      </c>
      <c r="M255" s="58" t="s">
        <v>64</v>
      </c>
      <c r="N255" t="str">
        <f t="shared" si="13"/>
        <v>RBT</v>
      </c>
      <c r="O255" t="str">
        <f t="shared" si="11"/>
        <v>Done</v>
      </c>
      <c r="P255" t="str">
        <f t="shared" si="14"/>
        <v>U1300 R6.4 - NIC5 - HCM -  Associate IHD to ESI</v>
      </c>
    </row>
    <row r="256" spans="1:16" ht="15.75" thickBot="1" x14ac:dyDescent="0.3">
      <c r="A256" s="52">
        <v>98</v>
      </c>
      <c r="B256" s="53" t="s">
        <v>58</v>
      </c>
      <c r="C256" s="54" t="s">
        <v>240</v>
      </c>
      <c r="D256" s="53" t="s">
        <v>141</v>
      </c>
      <c r="E256" s="54" t="s">
        <v>151</v>
      </c>
      <c r="F256" s="53" t="s">
        <v>68</v>
      </c>
      <c r="G256" s="55"/>
      <c r="H256" s="56">
        <v>45559</v>
      </c>
      <c r="I256" s="57">
        <v>0.71876157407407415</v>
      </c>
      <c r="J256" s="53" t="s">
        <v>62</v>
      </c>
      <c r="K256" s="54" t="s">
        <v>62</v>
      </c>
      <c r="L256" s="53" t="s">
        <v>238</v>
      </c>
      <c r="M256" s="58" t="s">
        <v>64</v>
      </c>
      <c r="N256" t="str">
        <f t="shared" si="13"/>
        <v>RBT</v>
      </c>
      <c r="O256" t="str">
        <f t="shared" si="11"/>
        <v>Done</v>
      </c>
      <c r="P256" t="str">
        <f t="shared" si="14"/>
        <v>U1300 R6.4 - NIC5 - HCM -  Join IHD to ESI</v>
      </c>
    </row>
    <row r="257" spans="1:16" ht="15.75" thickBot="1" x14ac:dyDescent="0.3">
      <c r="A257" s="52">
        <v>99</v>
      </c>
      <c r="B257" s="53" t="s">
        <v>58</v>
      </c>
      <c r="C257" s="54" t="s">
        <v>240</v>
      </c>
      <c r="D257" s="53" t="s">
        <v>141</v>
      </c>
      <c r="E257" s="54" t="s">
        <v>152</v>
      </c>
      <c r="F257" s="53" t="s">
        <v>68</v>
      </c>
      <c r="G257" s="55"/>
      <c r="H257" s="56">
        <v>45559</v>
      </c>
      <c r="I257" s="57">
        <v>0.71869212962962958</v>
      </c>
      <c r="J257" s="53" t="s">
        <v>62</v>
      </c>
      <c r="K257" s="54" t="s">
        <v>62</v>
      </c>
      <c r="L257" s="53" t="s">
        <v>238</v>
      </c>
      <c r="M257" s="58" t="s">
        <v>64</v>
      </c>
      <c r="N257" t="str">
        <f t="shared" si="13"/>
        <v>RBT</v>
      </c>
      <c r="O257" t="str">
        <f t="shared" si="11"/>
        <v>Done</v>
      </c>
      <c r="P257" t="str">
        <f t="shared" si="14"/>
        <v>U1300 R6.4 - NIC5 - HCM -  Ping IHD via ESI</v>
      </c>
    </row>
    <row r="258" spans="1:16" ht="15.75" thickBot="1" x14ac:dyDescent="0.3">
      <c r="A258" s="52">
        <v>101</v>
      </c>
      <c r="B258" s="53" t="s">
        <v>58</v>
      </c>
      <c r="C258" s="54" t="s">
        <v>240</v>
      </c>
      <c r="D258" s="53" t="s">
        <v>141</v>
      </c>
      <c r="E258" s="54" t="s">
        <v>153</v>
      </c>
      <c r="F258" s="53" t="s">
        <v>68</v>
      </c>
      <c r="G258" s="55"/>
      <c r="H258" s="56">
        <v>45559</v>
      </c>
      <c r="I258" s="57">
        <v>0.71868055555555566</v>
      </c>
      <c r="J258" s="53" t="s">
        <v>62</v>
      </c>
      <c r="K258" s="54" t="s">
        <v>62</v>
      </c>
      <c r="L258" s="53" t="s">
        <v>238</v>
      </c>
      <c r="M258" s="58" t="s">
        <v>64</v>
      </c>
      <c r="N258" t="str">
        <f t="shared" si="13"/>
        <v>RBT</v>
      </c>
      <c r="O258" t="str">
        <f t="shared" si="11"/>
        <v>Done</v>
      </c>
      <c r="P258" t="str">
        <f t="shared" si="14"/>
        <v>U1300 R6.4 - NIC5 - HCM -  Unjoin IHD to ESI</v>
      </c>
    </row>
    <row r="259" spans="1:16" ht="15.75" thickBot="1" x14ac:dyDescent="0.3">
      <c r="A259" s="52">
        <v>102</v>
      </c>
      <c r="B259" s="53" t="s">
        <v>58</v>
      </c>
      <c r="C259" s="54" t="s">
        <v>240</v>
      </c>
      <c r="D259" s="53" t="s">
        <v>141</v>
      </c>
      <c r="E259" s="54" t="s">
        <v>154</v>
      </c>
      <c r="F259" s="53" t="s">
        <v>91</v>
      </c>
      <c r="G259" s="55"/>
      <c r="H259" s="56">
        <v>45559</v>
      </c>
      <c r="I259" s="57">
        <v>0.71871527777777777</v>
      </c>
      <c r="J259" s="53" t="s">
        <v>62</v>
      </c>
      <c r="K259" s="54" t="s">
        <v>62</v>
      </c>
      <c r="L259" s="53" t="s">
        <v>238</v>
      </c>
      <c r="M259" s="58" t="s">
        <v>64</v>
      </c>
      <c r="N259" t="str">
        <f t="shared" si="13"/>
        <v>RBT</v>
      </c>
      <c r="O259" t="str">
        <f t="shared" ref="O259:O322" si="15">IF(OR(K259="No Run",K259="Not Completed"),"Unfinished",IF(OR(K259="asdfs"),"RBT",IF(OR(K259="N/A"),"N/A",IF(OR(K259="Passed",K259="Failed",K259="RBT"),"Done",IF(OR(K259="Blocked"),"Blocked","-")))))</f>
        <v>Done</v>
      </c>
      <c r="P259" t="str">
        <f t="shared" si="14"/>
        <v>U1300 R6.4 - NIC5 - HCM -  HAN secure key establishment</v>
      </c>
    </row>
    <row r="260" spans="1:16" ht="15.75" thickBot="1" x14ac:dyDescent="0.3">
      <c r="A260" s="52">
        <v>103</v>
      </c>
      <c r="B260" s="53" t="s">
        <v>58</v>
      </c>
      <c r="C260" s="54" t="s">
        <v>240</v>
      </c>
      <c r="D260" s="53" t="s">
        <v>141</v>
      </c>
      <c r="E260" s="54" t="s">
        <v>155</v>
      </c>
      <c r="F260" s="53" t="s">
        <v>91</v>
      </c>
      <c r="G260" s="55"/>
      <c r="H260" s="56">
        <v>45559</v>
      </c>
      <c r="I260" s="57">
        <v>0.71873842592592585</v>
      </c>
      <c r="J260" s="53" t="s">
        <v>62</v>
      </c>
      <c r="K260" s="54" t="s">
        <v>62</v>
      </c>
      <c r="L260" s="53" t="s">
        <v>238</v>
      </c>
      <c r="M260" s="58" t="s">
        <v>64</v>
      </c>
      <c r="N260" t="str">
        <f t="shared" si="13"/>
        <v>RBT</v>
      </c>
      <c r="O260" t="str">
        <f t="shared" si="15"/>
        <v>Done</v>
      </c>
      <c r="P260" t="str">
        <f t="shared" si="14"/>
        <v>U1300 R6.4 - NIC5 - HCM -  Enroll ESI to HCM program</v>
      </c>
    </row>
    <row r="261" spans="1:16" ht="15.75" thickBot="1" x14ac:dyDescent="0.3">
      <c r="A261" s="52">
        <v>105</v>
      </c>
      <c r="B261" s="53" t="s">
        <v>58</v>
      </c>
      <c r="C261" s="54" t="s">
        <v>240</v>
      </c>
      <c r="D261" s="53" t="s">
        <v>141</v>
      </c>
      <c r="E261" s="54" t="s">
        <v>156</v>
      </c>
      <c r="F261" s="53" t="s">
        <v>68</v>
      </c>
      <c r="G261" s="55"/>
      <c r="H261" s="56">
        <v>45559</v>
      </c>
      <c r="I261" s="57">
        <v>0.71863425925925928</v>
      </c>
      <c r="J261" s="53" t="s">
        <v>62</v>
      </c>
      <c r="K261" s="54" t="s">
        <v>62</v>
      </c>
      <c r="L261" s="53" t="s">
        <v>238</v>
      </c>
      <c r="M261" s="58" t="s">
        <v>64</v>
      </c>
      <c r="N261" t="str">
        <f t="shared" si="13"/>
        <v>RBT</v>
      </c>
      <c r="O261" t="str">
        <f t="shared" si="15"/>
        <v>Done</v>
      </c>
      <c r="P261" t="str">
        <f t="shared" si="14"/>
        <v>U1300 R6.4 - NIC5 - NC -  HAN radio diagnostic commands</v>
      </c>
    </row>
    <row r="262" spans="1:16" ht="15.75" thickBot="1" x14ac:dyDescent="0.3">
      <c r="A262" s="52">
        <v>93</v>
      </c>
      <c r="B262" s="53" t="s">
        <v>58</v>
      </c>
      <c r="C262" s="54" t="s">
        <v>239</v>
      </c>
      <c r="D262" s="53" t="s">
        <v>141</v>
      </c>
      <c r="E262" s="54" t="s">
        <v>146</v>
      </c>
      <c r="F262" s="53" t="s">
        <v>68</v>
      </c>
      <c r="G262" s="55"/>
      <c r="H262" s="56">
        <v>45559</v>
      </c>
      <c r="I262" s="57">
        <v>0.71949074074074071</v>
      </c>
      <c r="J262" s="53" t="s">
        <v>62</v>
      </c>
      <c r="K262" s="54" t="s">
        <v>62</v>
      </c>
      <c r="L262" s="53" t="s">
        <v>238</v>
      </c>
      <c r="M262" s="58" t="s">
        <v>63</v>
      </c>
      <c r="N262" t="str">
        <f t="shared" si="13"/>
        <v>RBT</v>
      </c>
      <c r="O262" t="str">
        <f t="shared" si="15"/>
        <v>Done</v>
      </c>
      <c r="P262" t="str">
        <f t="shared" si="14"/>
        <v>U3400 R6.4 - NIC3 - HCM - Import IHD</v>
      </c>
    </row>
    <row r="263" spans="1:16" ht="15.75" thickBot="1" x14ac:dyDescent="0.3">
      <c r="A263" s="52">
        <v>94</v>
      </c>
      <c r="B263" s="53" t="s">
        <v>58</v>
      </c>
      <c r="C263" s="54" t="s">
        <v>239</v>
      </c>
      <c r="D263" s="53" t="s">
        <v>141</v>
      </c>
      <c r="E263" s="54" t="s">
        <v>147</v>
      </c>
      <c r="F263" s="53" t="s">
        <v>68</v>
      </c>
      <c r="G263" s="55"/>
      <c r="H263" s="56">
        <v>45559</v>
      </c>
      <c r="I263" s="57">
        <v>0.71947916666666656</v>
      </c>
      <c r="J263" s="53" t="s">
        <v>62</v>
      </c>
      <c r="K263" s="54" t="s">
        <v>62</v>
      </c>
      <c r="L263" s="53" t="s">
        <v>238</v>
      </c>
      <c r="M263" s="58" t="s">
        <v>63</v>
      </c>
      <c r="N263" t="str">
        <f t="shared" si="13"/>
        <v>RBT</v>
      </c>
      <c r="O263" t="str">
        <f t="shared" si="15"/>
        <v>Done</v>
      </c>
      <c r="P263" t="str">
        <f t="shared" si="14"/>
        <v>U3400 R6.4 - NIC3 - HCM - Import ESI</v>
      </c>
    </row>
    <row r="264" spans="1:16" ht="15.75" thickBot="1" x14ac:dyDescent="0.3">
      <c r="A264" s="52">
        <v>95</v>
      </c>
      <c r="B264" s="53" t="s">
        <v>58</v>
      </c>
      <c r="C264" s="54" t="s">
        <v>239</v>
      </c>
      <c r="D264" s="53" t="s">
        <v>141</v>
      </c>
      <c r="E264" s="54" t="s">
        <v>148</v>
      </c>
      <c r="F264" s="53" t="s">
        <v>68</v>
      </c>
      <c r="G264" s="55"/>
      <c r="H264" s="56">
        <v>45559</v>
      </c>
      <c r="I264" s="57">
        <v>0.71952546296296294</v>
      </c>
      <c r="J264" s="53" t="s">
        <v>62</v>
      </c>
      <c r="K264" s="54" t="s">
        <v>62</v>
      </c>
      <c r="L264" s="53" t="s">
        <v>238</v>
      </c>
      <c r="M264" s="58" t="s">
        <v>63</v>
      </c>
      <c r="N264" t="str">
        <f t="shared" si="13"/>
        <v>RBT</v>
      </c>
      <c r="O264" t="str">
        <f t="shared" si="15"/>
        <v>Done</v>
      </c>
      <c r="P264" t="str">
        <f t="shared" si="14"/>
        <v>U3400 R6.4 - NIC3 - HCM - Sync ESI</v>
      </c>
    </row>
    <row r="265" spans="1:16" ht="15.75" thickBot="1" x14ac:dyDescent="0.3">
      <c r="A265" s="52">
        <v>96</v>
      </c>
      <c r="B265" s="53" t="s">
        <v>58</v>
      </c>
      <c r="C265" s="54" t="s">
        <v>239</v>
      </c>
      <c r="D265" s="53" t="s">
        <v>141</v>
      </c>
      <c r="E265" s="54" t="s">
        <v>149</v>
      </c>
      <c r="F265" s="53" t="s">
        <v>68</v>
      </c>
      <c r="G265" s="55"/>
      <c r="H265" s="56">
        <v>45559</v>
      </c>
      <c r="I265" s="57">
        <v>0.7195138888888889</v>
      </c>
      <c r="J265" s="53" t="s">
        <v>62</v>
      </c>
      <c r="K265" s="54" t="s">
        <v>62</v>
      </c>
      <c r="L265" s="53" t="s">
        <v>238</v>
      </c>
      <c r="M265" s="58" t="s">
        <v>63</v>
      </c>
      <c r="N265" t="str">
        <f t="shared" si="13"/>
        <v>RBT</v>
      </c>
      <c r="O265" t="str">
        <f t="shared" si="15"/>
        <v>Done</v>
      </c>
      <c r="P265" t="str">
        <f t="shared" si="14"/>
        <v>U3400 R6.4 - NIC3 - HCM - Provision ESI</v>
      </c>
    </row>
    <row r="266" spans="1:16" ht="15.75" thickBot="1" x14ac:dyDescent="0.3">
      <c r="A266" s="52">
        <v>97</v>
      </c>
      <c r="B266" s="53" t="s">
        <v>58</v>
      </c>
      <c r="C266" s="54" t="s">
        <v>239</v>
      </c>
      <c r="D266" s="53" t="s">
        <v>141</v>
      </c>
      <c r="E266" s="54" t="s">
        <v>150</v>
      </c>
      <c r="F266" s="53" t="s">
        <v>68</v>
      </c>
      <c r="G266" s="55"/>
      <c r="H266" s="56">
        <v>45559</v>
      </c>
      <c r="I266" s="57">
        <v>0.71938657407407414</v>
      </c>
      <c r="J266" s="53" t="s">
        <v>62</v>
      </c>
      <c r="K266" s="54" t="s">
        <v>62</v>
      </c>
      <c r="L266" s="53" t="s">
        <v>238</v>
      </c>
      <c r="M266" s="58" t="s">
        <v>63</v>
      </c>
      <c r="N266" t="str">
        <f t="shared" si="13"/>
        <v>RBT</v>
      </c>
      <c r="O266" t="str">
        <f t="shared" si="15"/>
        <v>Done</v>
      </c>
      <c r="P266" t="str">
        <f t="shared" si="14"/>
        <v>U3400 R6.4 - NIC3 - HCM -  Associate IHD to ESI</v>
      </c>
    </row>
    <row r="267" spans="1:16" ht="15.75" thickBot="1" x14ac:dyDescent="0.3">
      <c r="A267" s="52">
        <v>98</v>
      </c>
      <c r="B267" s="53" t="s">
        <v>58</v>
      </c>
      <c r="C267" s="54" t="s">
        <v>239</v>
      </c>
      <c r="D267" s="53" t="s">
        <v>141</v>
      </c>
      <c r="E267" s="54" t="s">
        <v>151</v>
      </c>
      <c r="F267" s="53" t="s">
        <v>68</v>
      </c>
      <c r="G267" s="55"/>
      <c r="H267" s="56">
        <v>45559</v>
      </c>
      <c r="I267" s="57">
        <v>0.7194328703703704</v>
      </c>
      <c r="J267" s="53" t="s">
        <v>62</v>
      </c>
      <c r="K267" s="54" t="s">
        <v>62</v>
      </c>
      <c r="L267" s="53" t="s">
        <v>238</v>
      </c>
      <c r="M267" s="58" t="s">
        <v>63</v>
      </c>
      <c r="N267" t="str">
        <f t="shared" si="13"/>
        <v>RBT</v>
      </c>
      <c r="O267" t="str">
        <f t="shared" si="15"/>
        <v>Done</v>
      </c>
      <c r="P267" t="str">
        <f t="shared" si="14"/>
        <v>U3400 R6.4 - NIC3 - HCM -  Join IHD to ESI</v>
      </c>
    </row>
    <row r="268" spans="1:16" ht="15.75" thickBot="1" x14ac:dyDescent="0.3">
      <c r="A268" s="52">
        <v>99</v>
      </c>
      <c r="B268" s="53" t="s">
        <v>58</v>
      </c>
      <c r="C268" s="54" t="s">
        <v>239</v>
      </c>
      <c r="D268" s="53" t="s">
        <v>141</v>
      </c>
      <c r="E268" s="54" t="s">
        <v>152</v>
      </c>
      <c r="F268" s="53" t="s">
        <v>68</v>
      </c>
      <c r="G268" s="55"/>
      <c r="H268" s="56">
        <v>45559</v>
      </c>
      <c r="I268" s="57">
        <v>0.71962962962962962</v>
      </c>
      <c r="J268" s="53" t="s">
        <v>62</v>
      </c>
      <c r="K268" s="54" t="s">
        <v>62</v>
      </c>
      <c r="L268" s="53" t="s">
        <v>238</v>
      </c>
      <c r="M268" s="58" t="s">
        <v>63</v>
      </c>
      <c r="N268" t="str">
        <f t="shared" si="13"/>
        <v>RBT</v>
      </c>
      <c r="O268" t="str">
        <f t="shared" si="15"/>
        <v>Done</v>
      </c>
      <c r="P268" t="str">
        <f t="shared" si="14"/>
        <v>U3400 R6.4 - NIC3 - HCM -  Ping IHD via ESI</v>
      </c>
    </row>
    <row r="269" spans="1:16" ht="15.75" thickBot="1" x14ac:dyDescent="0.3">
      <c r="A269" s="52">
        <v>101</v>
      </c>
      <c r="B269" s="53" t="s">
        <v>58</v>
      </c>
      <c r="C269" s="54" t="s">
        <v>239</v>
      </c>
      <c r="D269" s="53" t="s">
        <v>141</v>
      </c>
      <c r="E269" s="54" t="s">
        <v>153</v>
      </c>
      <c r="F269" s="53" t="s">
        <v>68</v>
      </c>
      <c r="G269" s="55"/>
      <c r="H269" s="56">
        <v>45559</v>
      </c>
      <c r="I269" s="57">
        <v>0.71946759259259263</v>
      </c>
      <c r="J269" s="53" t="s">
        <v>62</v>
      </c>
      <c r="K269" s="54" t="s">
        <v>62</v>
      </c>
      <c r="L269" s="53" t="s">
        <v>238</v>
      </c>
      <c r="M269" s="58" t="s">
        <v>63</v>
      </c>
      <c r="N269" t="str">
        <f t="shared" si="13"/>
        <v>RBT</v>
      </c>
      <c r="O269" t="str">
        <f t="shared" si="15"/>
        <v>Done</v>
      </c>
      <c r="P269" t="str">
        <f t="shared" si="14"/>
        <v>U3400 R6.4 - NIC3 - HCM -  Unjoin IHD to ESI</v>
      </c>
    </row>
    <row r="270" spans="1:16" ht="15.75" thickBot="1" x14ac:dyDescent="0.3">
      <c r="A270" s="52">
        <v>102</v>
      </c>
      <c r="B270" s="53" t="s">
        <v>58</v>
      </c>
      <c r="C270" s="54" t="s">
        <v>239</v>
      </c>
      <c r="D270" s="53" t="s">
        <v>141</v>
      </c>
      <c r="E270" s="54" t="s">
        <v>154</v>
      </c>
      <c r="F270" s="53" t="s">
        <v>91</v>
      </c>
      <c r="G270" s="55"/>
      <c r="H270" s="56">
        <v>45559</v>
      </c>
      <c r="I270" s="57">
        <v>0.71942129629629636</v>
      </c>
      <c r="J270" s="53" t="s">
        <v>62</v>
      </c>
      <c r="K270" s="54" t="s">
        <v>62</v>
      </c>
      <c r="L270" s="53" t="s">
        <v>238</v>
      </c>
      <c r="M270" s="58" t="s">
        <v>63</v>
      </c>
      <c r="N270" t="str">
        <f t="shared" si="13"/>
        <v>RBT</v>
      </c>
      <c r="O270" t="str">
        <f t="shared" si="15"/>
        <v>Done</v>
      </c>
      <c r="P270" t="str">
        <f t="shared" si="14"/>
        <v>U3400 R6.4 - NIC3 - HCM -  HAN secure key establishment</v>
      </c>
    </row>
    <row r="271" spans="1:16" ht="15.75" thickBot="1" x14ac:dyDescent="0.3">
      <c r="A271" s="52">
        <v>103</v>
      </c>
      <c r="B271" s="53" t="s">
        <v>58</v>
      </c>
      <c r="C271" s="54" t="s">
        <v>239</v>
      </c>
      <c r="D271" s="53" t="s">
        <v>141</v>
      </c>
      <c r="E271" s="54" t="s">
        <v>155</v>
      </c>
      <c r="F271" s="53" t="s">
        <v>91</v>
      </c>
      <c r="G271" s="55"/>
      <c r="H271" s="56">
        <v>45559</v>
      </c>
      <c r="I271" s="57">
        <v>0.71940972222222221</v>
      </c>
      <c r="J271" s="53" t="s">
        <v>62</v>
      </c>
      <c r="K271" s="54" t="s">
        <v>62</v>
      </c>
      <c r="L271" s="53" t="s">
        <v>238</v>
      </c>
      <c r="M271" s="58" t="s">
        <v>63</v>
      </c>
      <c r="N271" t="str">
        <f t="shared" si="13"/>
        <v>RBT</v>
      </c>
      <c r="O271" t="str">
        <f t="shared" si="15"/>
        <v>Done</v>
      </c>
      <c r="P271" t="str">
        <f t="shared" si="14"/>
        <v>U3400 R6.4 - NIC3 - HCM -  Enroll ESI to HCM program</v>
      </c>
    </row>
    <row r="272" spans="1:16" ht="15.75" thickBot="1" x14ac:dyDescent="0.3">
      <c r="A272" s="52">
        <v>105</v>
      </c>
      <c r="B272" s="53" t="s">
        <v>58</v>
      </c>
      <c r="C272" s="54" t="s">
        <v>239</v>
      </c>
      <c r="D272" s="53" t="s">
        <v>141</v>
      </c>
      <c r="E272" s="54" t="s">
        <v>156</v>
      </c>
      <c r="F272" s="53" t="s">
        <v>68</v>
      </c>
      <c r="G272" s="55"/>
      <c r="H272" s="56">
        <v>45559</v>
      </c>
      <c r="I272" s="57">
        <v>0.71953703703703698</v>
      </c>
      <c r="J272" s="53" t="s">
        <v>62</v>
      </c>
      <c r="K272" s="54" t="s">
        <v>62</v>
      </c>
      <c r="L272" s="53" t="s">
        <v>238</v>
      </c>
      <c r="M272" s="58" t="s">
        <v>63</v>
      </c>
      <c r="N272" t="str">
        <f t="shared" si="13"/>
        <v>RBT</v>
      </c>
      <c r="O272" t="str">
        <f t="shared" si="15"/>
        <v>Done</v>
      </c>
      <c r="P272" t="str">
        <f t="shared" si="14"/>
        <v>U3400 R6.4 - NIC3 - NC -  HAN radio diagnostic commands</v>
      </c>
    </row>
    <row r="273" spans="1:16" ht="15.75" thickBot="1" x14ac:dyDescent="0.3">
      <c r="A273" s="52">
        <v>93</v>
      </c>
      <c r="B273" s="53" t="s">
        <v>58</v>
      </c>
      <c r="C273" s="54" t="s">
        <v>237</v>
      </c>
      <c r="D273" s="53" t="s">
        <v>141</v>
      </c>
      <c r="E273" s="54" t="s">
        <v>146</v>
      </c>
      <c r="F273" s="53" t="s">
        <v>68</v>
      </c>
      <c r="G273" s="55"/>
      <c r="H273" s="56">
        <v>45559</v>
      </c>
      <c r="I273" s="57">
        <v>0.72020833333333334</v>
      </c>
      <c r="J273" s="53" t="s">
        <v>62</v>
      </c>
      <c r="K273" s="54" t="s">
        <v>62</v>
      </c>
      <c r="L273" s="53" t="s">
        <v>238</v>
      </c>
      <c r="M273" s="58" t="s">
        <v>63</v>
      </c>
      <c r="N273" t="str">
        <f t="shared" si="13"/>
        <v>RBT</v>
      </c>
      <c r="O273" t="str">
        <f t="shared" si="15"/>
        <v>Done</v>
      </c>
      <c r="P273" t="str">
        <f t="shared" si="14"/>
        <v>U3400 R6.4 - NIC5 - HCM - Import IHD</v>
      </c>
    </row>
    <row r="274" spans="1:16" ht="15.75" thickBot="1" x14ac:dyDescent="0.3">
      <c r="A274" s="52">
        <v>94</v>
      </c>
      <c r="B274" s="53" t="s">
        <v>58</v>
      </c>
      <c r="C274" s="54" t="s">
        <v>237</v>
      </c>
      <c r="D274" s="53" t="s">
        <v>141</v>
      </c>
      <c r="E274" s="54" t="s">
        <v>147</v>
      </c>
      <c r="F274" s="53" t="s">
        <v>68</v>
      </c>
      <c r="G274" s="55"/>
      <c r="H274" s="56">
        <v>45559</v>
      </c>
      <c r="I274" s="57">
        <v>0.72023148148148142</v>
      </c>
      <c r="J274" s="53" t="s">
        <v>62</v>
      </c>
      <c r="K274" s="54" t="s">
        <v>62</v>
      </c>
      <c r="L274" s="53" t="s">
        <v>238</v>
      </c>
      <c r="M274" s="58" t="s">
        <v>63</v>
      </c>
      <c r="N274" t="str">
        <f t="shared" si="13"/>
        <v>RBT</v>
      </c>
      <c r="O274" t="str">
        <f t="shared" si="15"/>
        <v>Done</v>
      </c>
      <c r="P274" t="str">
        <f t="shared" si="14"/>
        <v>U3400 R6.4 - NIC5 - HCM - Import ESI</v>
      </c>
    </row>
    <row r="275" spans="1:16" ht="15.75" thickBot="1" x14ac:dyDescent="0.3">
      <c r="A275" s="52">
        <v>95</v>
      </c>
      <c r="B275" s="53" t="s">
        <v>58</v>
      </c>
      <c r="C275" s="54" t="s">
        <v>237</v>
      </c>
      <c r="D275" s="53" t="s">
        <v>141</v>
      </c>
      <c r="E275" s="54" t="s">
        <v>148</v>
      </c>
      <c r="F275" s="53" t="s">
        <v>68</v>
      </c>
      <c r="G275" s="55"/>
      <c r="H275" s="56">
        <v>45559</v>
      </c>
      <c r="I275" s="57">
        <v>0.72018518518518515</v>
      </c>
      <c r="J275" s="53" t="s">
        <v>62</v>
      </c>
      <c r="K275" s="54" t="s">
        <v>62</v>
      </c>
      <c r="L275" s="53" t="s">
        <v>238</v>
      </c>
      <c r="M275" s="58" t="s">
        <v>63</v>
      </c>
      <c r="N275" t="str">
        <f t="shared" si="13"/>
        <v>RBT</v>
      </c>
      <c r="O275" t="str">
        <f t="shared" si="15"/>
        <v>Done</v>
      </c>
      <c r="P275" t="str">
        <f t="shared" si="14"/>
        <v>U3400 R6.4 - NIC5 - HCM - Sync ESI</v>
      </c>
    </row>
    <row r="276" spans="1:16" ht="15.75" thickBot="1" x14ac:dyDescent="0.3">
      <c r="A276" s="52">
        <v>96</v>
      </c>
      <c r="B276" s="53" t="s">
        <v>58</v>
      </c>
      <c r="C276" s="54" t="s">
        <v>237</v>
      </c>
      <c r="D276" s="53" t="s">
        <v>141</v>
      </c>
      <c r="E276" s="54" t="s">
        <v>149</v>
      </c>
      <c r="F276" s="53" t="s">
        <v>68</v>
      </c>
      <c r="G276" s="55"/>
      <c r="H276" s="56">
        <v>45559</v>
      </c>
      <c r="I276" s="57">
        <v>0.72019675925925919</v>
      </c>
      <c r="J276" s="53" t="s">
        <v>62</v>
      </c>
      <c r="K276" s="54" t="s">
        <v>62</v>
      </c>
      <c r="L276" s="53" t="s">
        <v>238</v>
      </c>
      <c r="M276" s="58" t="s">
        <v>63</v>
      </c>
      <c r="N276" t="str">
        <f t="shared" si="13"/>
        <v>RBT</v>
      </c>
      <c r="O276" t="str">
        <f t="shared" si="15"/>
        <v>Done</v>
      </c>
      <c r="P276" t="str">
        <f t="shared" si="14"/>
        <v>U3400 R6.4 - NIC5 - HCM - Provision ESI</v>
      </c>
    </row>
    <row r="277" spans="1:16" ht="15.75" thickBot="1" x14ac:dyDescent="0.3">
      <c r="A277" s="52">
        <v>97</v>
      </c>
      <c r="B277" s="53" t="s">
        <v>58</v>
      </c>
      <c r="C277" s="54" t="s">
        <v>237</v>
      </c>
      <c r="D277" s="53" t="s">
        <v>141</v>
      </c>
      <c r="E277" s="54" t="s">
        <v>150</v>
      </c>
      <c r="F277" s="53" t="s">
        <v>68</v>
      </c>
      <c r="G277" s="55"/>
      <c r="H277" s="56">
        <v>45559</v>
      </c>
      <c r="I277" s="57">
        <v>0.72032407407407406</v>
      </c>
      <c r="J277" s="53" t="s">
        <v>62</v>
      </c>
      <c r="K277" s="54" t="s">
        <v>62</v>
      </c>
      <c r="L277" s="53" t="s">
        <v>238</v>
      </c>
      <c r="M277" s="58" t="s">
        <v>63</v>
      </c>
      <c r="N277" t="str">
        <f t="shared" si="13"/>
        <v>RBT</v>
      </c>
      <c r="O277" t="str">
        <f t="shared" si="15"/>
        <v>Done</v>
      </c>
      <c r="P277" t="str">
        <f t="shared" si="14"/>
        <v>U3400 R6.4 - NIC5 - HCM -  Associate IHD to ESI</v>
      </c>
    </row>
    <row r="278" spans="1:16" ht="15.75" thickBot="1" x14ac:dyDescent="0.3">
      <c r="A278" s="52">
        <v>98</v>
      </c>
      <c r="B278" s="53" t="s">
        <v>58</v>
      </c>
      <c r="C278" s="54" t="s">
        <v>237</v>
      </c>
      <c r="D278" s="53" t="s">
        <v>141</v>
      </c>
      <c r="E278" s="54" t="s">
        <v>151</v>
      </c>
      <c r="F278" s="53" t="s">
        <v>68</v>
      </c>
      <c r="G278" s="55"/>
      <c r="H278" s="56">
        <v>45559</v>
      </c>
      <c r="I278" s="57">
        <v>0.72027777777777768</v>
      </c>
      <c r="J278" s="53" t="s">
        <v>62</v>
      </c>
      <c r="K278" s="54" t="s">
        <v>62</v>
      </c>
      <c r="L278" s="53" t="s">
        <v>238</v>
      </c>
      <c r="M278" s="58" t="s">
        <v>63</v>
      </c>
      <c r="N278" t="str">
        <f t="shared" si="13"/>
        <v>RBT</v>
      </c>
      <c r="O278" t="str">
        <f t="shared" si="15"/>
        <v>Done</v>
      </c>
      <c r="P278" t="str">
        <f t="shared" si="14"/>
        <v>U3400 R6.4 - NIC5 - HCM -  Join IHD to ESI</v>
      </c>
    </row>
    <row r="279" spans="1:16" ht="15.75" thickBot="1" x14ac:dyDescent="0.3">
      <c r="A279" s="52">
        <v>99</v>
      </c>
      <c r="B279" s="53" t="s">
        <v>58</v>
      </c>
      <c r="C279" s="54" t="s">
        <v>237</v>
      </c>
      <c r="D279" s="53" t="s">
        <v>141</v>
      </c>
      <c r="E279" s="54" t="s">
        <v>152</v>
      </c>
      <c r="F279" s="53" t="s">
        <v>68</v>
      </c>
      <c r="G279" s="55"/>
      <c r="H279" s="56">
        <v>45559</v>
      </c>
      <c r="I279" s="57">
        <v>0.72025462962962961</v>
      </c>
      <c r="J279" s="53" t="s">
        <v>62</v>
      </c>
      <c r="K279" s="54" t="s">
        <v>62</v>
      </c>
      <c r="L279" s="53" t="s">
        <v>238</v>
      </c>
      <c r="M279" s="58" t="s">
        <v>63</v>
      </c>
      <c r="N279" t="str">
        <f t="shared" si="13"/>
        <v>RBT</v>
      </c>
      <c r="O279" t="str">
        <f t="shared" si="15"/>
        <v>Done</v>
      </c>
      <c r="P279" t="str">
        <f t="shared" si="14"/>
        <v>U3400 R6.4 - NIC5 - HCM -  Ping IHD via ESI</v>
      </c>
    </row>
    <row r="280" spans="1:16" ht="15.75" thickBot="1" x14ac:dyDescent="0.3">
      <c r="A280" s="52">
        <v>101</v>
      </c>
      <c r="B280" s="53" t="s">
        <v>58</v>
      </c>
      <c r="C280" s="54" t="s">
        <v>237</v>
      </c>
      <c r="D280" s="53" t="s">
        <v>141</v>
      </c>
      <c r="E280" s="54" t="s">
        <v>153</v>
      </c>
      <c r="F280" s="53" t="s">
        <v>68</v>
      </c>
      <c r="G280" s="55"/>
      <c r="H280" s="56">
        <v>45559</v>
      </c>
      <c r="I280" s="57">
        <v>0.72024305555555557</v>
      </c>
      <c r="J280" s="53" t="s">
        <v>62</v>
      </c>
      <c r="K280" s="54" t="s">
        <v>62</v>
      </c>
      <c r="L280" s="53" t="s">
        <v>238</v>
      </c>
      <c r="M280" s="58" t="s">
        <v>63</v>
      </c>
      <c r="N280" t="str">
        <f t="shared" si="13"/>
        <v>RBT</v>
      </c>
      <c r="O280" t="str">
        <f t="shared" si="15"/>
        <v>Done</v>
      </c>
      <c r="P280" t="str">
        <f t="shared" si="14"/>
        <v>U3400 R6.4 - NIC5 - HCM -  Unjoin IHD to ESI</v>
      </c>
    </row>
    <row r="281" spans="1:16" ht="15.75" thickBot="1" x14ac:dyDescent="0.3">
      <c r="A281" s="52">
        <v>102</v>
      </c>
      <c r="B281" s="53" t="s">
        <v>58</v>
      </c>
      <c r="C281" s="54" t="s">
        <v>237</v>
      </c>
      <c r="D281" s="53" t="s">
        <v>141</v>
      </c>
      <c r="E281" s="54" t="s">
        <v>154</v>
      </c>
      <c r="F281" s="53" t="s">
        <v>91</v>
      </c>
      <c r="G281" s="55"/>
      <c r="H281" s="56">
        <v>45559</v>
      </c>
      <c r="I281" s="57">
        <v>0.72028935185185183</v>
      </c>
      <c r="J281" s="53" t="s">
        <v>62</v>
      </c>
      <c r="K281" s="54" t="s">
        <v>62</v>
      </c>
      <c r="L281" s="53" t="s">
        <v>238</v>
      </c>
      <c r="M281" s="58" t="s">
        <v>63</v>
      </c>
      <c r="N281" t="str">
        <f t="shared" si="13"/>
        <v>RBT</v>
      </c>
      <c r="O281" t="str">
        <f t="shared" si="15"/>
        <v>Done</v>
      </c>
      <c r="P281" t="str">
        <f t="shared" si="14"/>
        <v>U3400 R6.4 - NIC5 - HCM -  HAN secure key establishment</v>
      </c>
    </row>
    <row r="282" spans="1:16" ht="15.75" thickBot="1" x14ac:dyDescent="0.3">
      <c r="A282" s="52">
        <v>103</v>
      </c>
      <c r="B282" s="53" t="s">
        <v>58</v>
      </c>
      <c r="C282" s="54" t="s">
        <v>237</v>
      </c>
      <c r="D282" s="53" t="s">
        <v>141</v>
      </c>
      <c r="E282" s="54" t="s">
        <v>155</v>
      </c>
      <c r="F282" s="53" t="s">
        <v>91</v>
      </c>
      <c r="G282" s="55"/>
      <c r="H282" s="56">
        <v>45559</v>
      </c>
      <c r="I282" s="57">
        <v>0.72030092592592598</v>
      </c>
      <c r="J282" s="53" t="s">
        <v>62</v>
      </c>
      <c r="K282" s="54" t="s">
        <v>62</v>
      </c>
      <c r="L282" s="53" t="s">
        <v>238</v>
      </c>
      <c r="M282" s="58" t="s">
        <v>63</v>
      </c>
      <c r="N282" t="str">
        <f t="shared" si="13"/>
        <v>RBT</v>
      </c>
      <c r="O282" t="str">
        <f t="shared" si="15"/>
        <v>Done</v>
      </c>
      <c r="P282" t="str">
        <f t="shared" si="14"/>
        <v>U3400 R6.4 - NIC5 - HCM -  Enroll ESI to HCM program</v>
      </c>
    </row>
    <row r="283" spans="1:16" ht="15.75" thickBot="1" x14ac:dyDescent="0.3">
      <c r="A283" s="52">
        <v>105</v>
      </c>
      <c r="B283" s="53" t="s">
        <v>58</v>
      </c>
      <c r="C283" s="54" t="s">
        <v>237</v>
      </c>
      <c r="D283" s="53" t="s">
        <v>141</v>
      </c>
      <c r="E283" s="54" t="s">
        <v>156</v>
      </c>
      <c r="F283" s="53" t="s">
        <v>68</v>
      </c>
      <c r="G283" s="55"/>
      <c r="H283" s="56">
        <v>45559</v>
      </c>
      <c r="I283" s="57">
        <v>0.72016203703703707</v>
      </c>
      <c r="J283" s="53" t="s">
        <v>62</v>
      </c>
      <c r="K283" s="54" t="s">
        <v>62</v>
      </c>
      <c r="L283" s="53" t="s">
        <v>238</v>
      </c>
      <c r="M283" s="58" t="s">
        <v>63</v>
      </c>
      <c r="N283" t="str">
        <f t="shared" si="13"/>
        <v>RBT</v>
      </c>
      <c r="O283" t="str">
        <f t="shared" si="15"/>
        <v>Done</v>
      </c>
      <c r="P283" t="str">
        <f t="shared" si="14"/>
        <v>U3400 R6.4 - NIC5 - NC -  HAN radio diagnostic commands</v>
      </c>
    </row>
    <row r="284" spans="1:16" ht="29.25" hidden="1" thickBot="1" x14ac:dyDescent="0.3">
      <c r="A284" s="52">
        <v>83</v>
      </c>
      <c r="B284" s="53" t="s">
        <v>58</v>
      </c>
      <c r="C284" s="54" t="s">
        <v>239</v>
      </c>
      <c r="D284" s="53" t="s">
        <v>249</v>
      </c>
      <c r="E284" s="54" t="s">
        <v>157</v>
      </c>
      <c r="F284" s="53" t="s">
        <v>61</v>
      </c>
      <c r="G284" s="55"/>
      <c r="H284" s="56">
        <v>45569</v>
      </c>
      <c r="I284" s="57">
        <v>0.4523726851851852</v>
      </c>
      <c r="J284" s="53" t="s">
        <v>69</v>
      </c>
      <c r="K284" s="54" t="s">
        <v>69</v>
      </c>
      <c r="L284" s="53" t="s">
        <v>238</v>
      </c>
      <c r="M284" s="58" t="s">
        <v>63</v>
      </c>
      <c r="N284" t="str">
        <f t="shared" si="13"/>
        <v>Executed</v>
      </c>
      <c r="O284" t="str">
        <f t="shared" si="15"/>
        <v>Done</v>
      </c>
      <c r="P284" t="str">
        <f t="shared" si="14"/>
        <v>U3400 R6.4 - NIC3 - ESCC Normal Operation - Active Meters</v>
      </c>
    </row>
    <row r="285" spans="1:16" ht="29.25" hidden="1" thickBot="1" x14ac:dyDescent="0.3">
      <c r="A285" s="52">
        <v>1695</v>
      </c>
      <c r="B285" s="53" t="s">
        <v>58</v>
      </c>
      <c r="C285" s="54" t="s">
        <v>239</v>
      </c>
      <c r="D285" s="53" t="s">
        <v>249</v>
      </c>
      <c r="E285" s="54" t="s">
        <v>158</v>
      </c>
      <c r="F285" s="53" t="s">
        <v>61</v>
      </c>
      <c r="G285" s="55"/>
      <c r="H285" s="56">
        <v>45572</v>
      </c>
      <c r="I285" s="57">
        <v>0.74579861111111112</v>
      </c>
      <c r="J285" s="53" t="s">
        <v>69</v>
      </c>
      <c r="K285" s="54" t="s">
        <v>69</v>
      </c>
      <c r="L285" s="53" t="s">
        <v>238</v>
      </c>
      <c r="M285" s="58" t="s">
        <v>63</v>
      </c>
      <c r="N285" t="str">
        <f t="shared" si="13"/>
        <v>Executed</v>
      </c>
      <c r="O285" t="str">
        <f t="shared" si="15"/>
        <v>Done</v>
      </c>
      <c r="P285" t="str">
        <f t="shared" si="14"/>
        <v>U3400 R6.4 - NIC3 - ESCC Operation on Export</v>
      </c>
    </row>
    <row r="286" spans="1:16" ht="29.25" hidden="1" thickBot="1" x14ac:dyDescent="0.3">
      <c r="A286" s="52">
        <v>83</v>
      </c>
      <c r="B286" s="53" t="s">
        <v>58</v>
      </c>
      <c r="C286" s="54" t="s">
        <v>241</v>
      </c>
      <c r="D286" s="53" t="s">
        <v>249</v>
      </c>
      <c r="E286" s="54" t="s">
        <v>157</v>
      </c>
      <c r="F286" s="53" t="s">
        <v>61</v>
      </c>
      <c r="G286" s="55"/>
      <c r="H286" s="56">
        <v>45573</v>
      </c>
      <c r="I286" s="57">
        <v>0.67940972222222218</v>
      </c>
      <c r="J286" s="53" t="s">
        <v>69</v>
      </c>
      <c r="K286" s="54" t="s">
        <v>69</v>
      </c>
      <c r="L286" s="53" t="s">
        <v>242</v>
      </c>
      <c r="M286" s="58" t="s">
        <v>64</v>
      </c>
      <c r="N286" t="str">
        <f t="shared" si="13"/>
        <v>Executed</v>
      </c>
      <c r="O286" t="str">
        <f t="shared" si="15"/>
        <v>Done</v>
      </c>
      <c r="P286" t="str">
        <f t="shared" si="14"/>
        <v>U1300 R6.4 - NIC3 - ESCC Normal Operation - Active Meters</v>
      </c>
    </row>
    <row r="287" spans="1:16" ht="29.25" hidden="1" thickBot="1" x14ac:dyDescent="0.3">
      <c r="A287" s="52">
        <v>1695</v>
      </c>
      <c r="B287" s="53" t="s">
        <v>58</v>
      </c>
      <c r="C287" s="54" t="s">
        <v>241</v>
      </c>
      <c r="D287" s="53" t="s">
        <v>249</v>
      </c>
      <c r="E287" s="54" t="s">
        <v>158</v>
      </c>
      <c r="F287" s="53" t="s">
        <v>61</v>
      </c>
      <c r="G287" s="55"/>
      <c r="H287" s="56">
        <v>45573</v>
      </c>
      <c r="I287" s="57">
        <v>0.69560185185185175</v>
      </c>
      <c r="J287" s="53" t="s">
        <v>69</v>
      </c>
      <c r="K287" s="54" t="s">
        <v>69</v>
      </c>
      <c r="L287" s="53" t="s">
        <v>242</v>
      </c>
      <c r="M287" s="58" t="s">
        <v>64</v>
      </c>
      <c r="N287" t="str">
        <f t="shared" si="13"/>
        <v>Executed</v>
      </c>
      <c r="O287" t="str">
        <f t="shared" si="15"/>
        <v>Done</v>
      </c>
      <c r="P287" t="str">
        <f t="shared" si="14"/>
        <v>U1300 R6.4 - NIC3 - ESCC Operation on Export</v>
      </c>
    </row>
    <row r="288" spans="1:16" ht="29.25" hidden="1" thickBot="1" x14ac:dyDescent="0.3">
      <c r="A288" s="52">
        <v>83</v>
      </c>
      <c r="B288" s="53" t="s">
        <v>58</v>
      </c>
      <c r="C288" s="54" t="s">
        <v>237</v>
      </c>
      <c r="D288" s="53" t="s">
        <v>249</v>
      </c>
      <c r="E288" s="54" t="s">
        <v>157</v>
      </c>
      <c r="F288" s="53" t="s">
        <v>61</v>
      </c>
      <c r="G288" s="55"/>
      <c r="H288" s="56">
        <v>45569</v>
      </c>
      <c r="I288" s="57">
        <v>0.45234953703703701</v>
      </c>
      <c r="J288" s="53" t="s">
        <v>69</v>
      </c>
      <c r="K288" s="54" t="s">
        <v>69</v>
      </c>
      <c r="L288" s="53" t="s">
        <v>238</v>
      </c>
      <c r="M288" s="58" t="s">
        <v>63</v>
      </c>
      <c r="N288" t="str">
        <f t="shared" si="13"/>
        <v>Executed</v>
      </c>
      <c r="O288" t="str">
        <f t="shared" si="15"/>
        <v>Done</v>
      </c>
      <c r="P288" t="str">
        <f t="shared" si="14"/>
        <v>U3400 R6.4 - NIC5 - ESCC Normal Operation - Active Meters</v>
      </c>
    </row>
    <row r="289" spans="1:16" ht="29.25" hidden="1" thickBot="1" x14ac:dyDescent="0.3">
      <c r="A289" s="52">
        <v>1695</v>
      </c>
      <c r="B289" s="53" t="s">
        <v>58</v>
      </c>
      <c r="C289" s="54" t="s">
        <v>237</v>
      </c>
      <c r="D289" s="53" t="s">
        <v>249</v>
      </c>
      <c r="E289" s="54" t="s">
        <v>158</v>
      </c>
      <c r="F289" s="53" t="s">
        <v>61</v>
      </c>
      <c r="G289" s="55"/>
      <c r="H289" s="56">
        <v>45572</v>
      </c>
      <c r="I289" s="57">
        <v>0.74575231481481474</v>
      </c>
      <c r="J289" s="53" t="s">
        <v>69</v>
      </c>
      <c r="K289" s="54" t="s">
        <v>69</v>
      </c>
      <c r="L289" s="53" t="s">
        <v>238</v>
      </c>
      <c r="M289" s="58" t="s">
        <v>63</v>
      </c>
      <c r="N289" t="str">
        <f t="shared" si="13"/>
        <v>Executed</v>
      </c>
      <c r="O289" t="str">
        <f t="shared" si="15"/>
        <v>Done</v>
      </c>
      <c r="P289" t="str">
        <f t="shared" si="14"/>
        <v>U3400 R6.4 - NIC5 - ESCC Operation on Export</v>
      </c>
    </row>
    <row r="290" spans="1:16" ht="29.25" hidden="1" thickBot="1" x14ac:dyDescent="0.3">
      <c r="A290" s="52">
        <v>83</v>
      </c>
      <c r="B290" s="53" t="s">
        <v>58</v>
      </c>
      <c r="C290" s="54" t="s">
        <v>240</v>
      </c>
      <c r="D290" s="53" t="s">
        <v>249</v>
      </c>
      <c r="E290" s="54" t="s">
        <v>157</v>
      </c>
      <c r="F290" s="53" t="s">
        <v>61</v>
      </c>
      <c r="G290" s="55"/>
      <c r="H290" s="56">
        <v>45573</v>
      </c>
      <c r="I290" s="57">
        <v>0.68002314814814813</v>
      </c>
      <c r="J290" s="53" t="s">
        <v>69</v>
      </c>
      <c r="K290" s="54" t="s">
        <v>69</v>
      </c>
      <c r="L290" s="53" t="s">
        <v>242</v>
      </c>
      <c r="M290" s="58" t="s">
        <v>64</v>
      </c>
      <c r="N290" t="str">
        <f t="shared" si="13"/>
        <v>Executed</v>
      </c>
      <c r="O290" t="str">
        <f t="shared" si="15"/>
        <v>Done</v>
      </c>
      <c r="P290" t="str">
        <f t="shared" si="14"/>
        <v>U1300 R6.4 - NIC5 - ESCC Normal Operation - Active Meters</v>
      </c>
    </row>
    <row r="291" spans="1:16" ht="29.25" hidden="1" thickBot="1" x14ac:dyDescent="0.3">
      <c r="A291" s="52">
        <v>1695</v>
      </c>
      <c r="B291" s="53" t="s">
        <v>58</v>
      </c>
      <c r="C291" s="54" t="s">
        <v>240</v>
      </c>
      <c r="D291" s="53" t="s">
        <v>249</v>
      </c>
      <c r="E291" s="54" t="s">
        <v>158</v>
      </c>
      <c r="F291" s="53" t="s">
        <v>61</v>
      </c>
      <c r="G291" s="55"/>
      <c r="H291" s="56">
        <v>45573</v>
      </c>
      <c r="I291" s="57">
        <v>0.69608796296296294</v>
      </c>
      <c r="J291" s="53" t="s">
        <v>69</v>
      </c>
      <c r="K291" s="54" t="s">
        <v>69</v>
      </c>
      <c r="L291" s="53" t="s">
        <v>242</v>
      </c>
      <c r="M291" s="58" t="s">
        <v>64</v>
      </c>
      <c r="N291" t="str">
        <f t="shared" si="13"/>
        <v>Executed</v>
      </c>
      <c r="O291" t="str">
        <f t="shared" si="15"/>
        <v>Done</v>
      </c>
      <c r="P291" t="str">
        <f t="shared" si="14"/>
        <v>U1300 R6.4 - NIC5 - ESCC Operation on Export</v>
      </c>
    </row>
    <row r="292" spans="1:16" ht="15.75" hidden="1" thickBot="1" x14ac:dyDescent="0.3">
      <c r="A292" s="52">
        <v>84</v>
      </c>
      <c r="B292" s="53" t="s">
        <v>58</v>
      </c>
      <c r="C292" s="54" t="s">
        <v>237</v>
      </c>
      <c r="D292" s="53" t="s">
        <v>159</v>
      </c>
      <c r="E292" s="54" t="s">
        <v>160</v>
      </c>
      <c r="F292" s="53" t="s">
        <v>61</v>
      </c>
      <c r="G292" s="55"/>
      <c r="H292" s="56">
        <v>45575</v>
      </c>
      <c r="I292" s="57">
        <v>0.52281250000000001</v>
      </c>
      <c r="J292" s="53" t="s">
        <v>69</v>
      </c>
      <c r="K292" s="54" t="s">
        <v>69</v>
      </c>
      <c r="L292" s="53" t="s">
        <v>238</v>
      </c>
      <c r="M292" s="58" t="s">
        <v>63</v>
      </c>
      <c r="N292" t="str">
        <f t="shared" si="13"/>
        <v>Executed</v>
      </c>
      <c r="O292" t="str">
        <f t="shared" si="15"/>
        <v>Done</v>
      </c>
      <c r="P292" t="str">
        <f t="shared" si="14"/>
        <v>U3400 R6.4 - NIC5 - Meter tamper - terminal cover</v>
      </c>
    </row>
    <row r="293" spans="1:16" ht="15.75" hidden="1" thickBot="1" x14ac:dyDescent="0.3">
      <c r="A293" s="52">
        <v>84</v>
      </c>
      <c r="B293" s="53" t="s">
        <v>58</v>
      </c>
      <c r="C293" s="54" t="s">
        <v>239</v>
      </c>
      <c r="D293" s="53" t="s">
        <v>159</v>
      </c>
      <c r="E293" s="54" t="s">
        <v>160</v>
      </c>
      <c r="F293" s="53" t="s">
        <v>61</v>
      </c>
      <c r="G293" s="55"/>
      <c r="H293" s="56">
        <v>45575</v>
      </c>
      <c r="I293" s="57">
        <v>0.52222222222222225</v>
      </c>
      <c r="J293" s="53" t="s">
        <v>69</v>
      </c>
      <c r="K293" s="54" t="s">
        <v>69</v>
      </c>
      <c r="L293" s="53" t="s">
        <v>238</v>
      </c>
      <c r="M293" s="58" t="s">
        <v>63</v>
      </c>
      <c r="N293" t="str">
        <f t="shared" si="13"/>
        <v>Executed</v>
      </c>
      <c r="O293" t="str">
        <f t="shared" si="15"/>
        <v>Done</v>
      </c>
      <c r="P293" t="str">
        <f t="shared" si="14"/>
        <v>U3400 R6.4 - NIC3 - Meter tamper - terminal cover</v>
      </c>
    </row>
    <row r="294" spans="1:16" ht="15.75" hidden="1" thickBot="1" x14ac:dyDescent="0.3">
      <c r="A294" s="52">
        <v>84</v>
      </c>
      <c r="B294" s="53" t="s">
        <v>58</v>
      </c>
      <c r="C294" s="54" t="s">
        <v>240</v>
      </c>
      <c r="D294" s="53" t="s">
        <v>159</v>
      </c>
      <c r="E294" s="54" t="s">
        <v>160</v>
      </c>
      <c r="F294" s="53" t="s">
        <v>61</v>
      </c>
      <c r="G294" s="55"/>
      <c r="H294" s="56">
        <v>45572</v>
      </c>
      <c r="I294" s="57">
        <v>0.68859953703703702</v>
      </c>
      <c r="J294" s="53" t="s">
        <v>69</v>
      </c>
      <c r="K294" s="54" t="s">
        <v>69</v>
      </c>
      <c r="L294" s="53" t="s">
        <v>242</v>
      </c>
      <c r="M294" s="58" t="s">
        <v>64</v>
      </c>
      <c r="N294" t="str">
        <f t="shared" si="13"/>
        <v>Executed</v>
      </c>
      <c r="O294" t="str">
        <f t="shared" si="15"/>
        <v>Done</v>
      </c>
      <c r="P294" t="str">
        <f t="shared" si="14"/>
        <v>U1300 R6.4 - NIC5 - Meter tamper - terminal cover</v>
      </c>
    </row>
    <row r="295" spans="1:16" ht="15.75" hidden="1" thickBot="1" x14ac:dyDescent="0.3">
      <c r="A295" s="52">
        <v>84</v>
      </c>
      <c r="B295" s="53" t="s">
        <v>58</v>
      </c>
      <c r="C295" s="54" t="s">
        <v>241</v>
      </c>
      <c r="D295" s="53" t="s">
        <v>159</v>
      </c>
      <c r="E295" s="54" t="s">
        <v>160</v>
      </c>
      <c r="F295" s="53" t="s">
        <v>61</v>
      </c>
      <c r="G295" s="55"/>
      <c r="H295" s="56">
        <v>45572</v>
      </c>
      <c r="I295" s="57">
        <v>0.68781250000000005</v>
      </c>
      <c r="J295" s="53" t="s">
        <v>69</v>
      </c>
      <c r="K295" s="54" t="s">
        <v>69</v>
      </c>
      <c r="L295" s="53" t="s">
        <v>242</v>
      </c>
      <c r="M295" s="58" t="s">
        <v>64</v>
      </c>
      <c r="N295" t="str">
        <f t="shared" si="13"/>
        <v>Executed</v>
      </c>
      <c r="O295" t="str">
        <f t="shared" si="15"/>
        <v>Done</v>
      </c>
      <c r="P295" t="str">
        <f t="shared" si="14"/>
        <v>U1300 R6.4 - NIC3 - Meter tamper - terminal cover</v>
      </c>
    </row>
    <row r="296" spans="1:16" ht="26.25" hidden="1" thickBot="1" x14ac:dyDescent="0.3">
      <c r="A296" s="52">
        <v>1793</v>
      </c>
      <c r="B296" s="53" t="s">
        <v>58</v>
      </c>
      <c r="C296" s="54" t="s">
        <v>239</v>
      </c>
      <c r="D296" s="53" t="s">
        <v>161</v>
      </c>
      <c r="E296" s="54" t="s">
        <v>162</v>
      </c>
      <c r="F296" s="53" t="s">
        <v>68</v>
      </c>
      <c r="G296" s="55"/>
      <c r="H296" s="56">
        <v>45569</v>
      </c>
      <c r="I296" s="57">
        <v>0.62718750000000001</v>
      </c>
      <c r="J296" s="53" t="s">
        <v>69</v>
      </c>
      <c r="K296" s="54" t="s">
        <v>69</v>
      </c>
      <c r="L296" s="53" t="s">
        <v>238</v>
      </c>
      <c r="M296" s="58" t="s">
        <v>63</v>
      </c>
      <c r="N296" t="str">
        <f t="shared" si="13"/>
        <v>Executed</v>
      </c>
      <c r="O296" t="str">
        <f t="shared" si="15"/>
        <v>Done</v>
      </c>
      <c r="P296" t="str">
        <f t="shared" si="14"/>
        <v>U3400 R6.4 - NIC3 - Broadcast - Load contactor connect via broadcast (immediate, no randomisation)</v>
      </c>
    </row>
    <row r="297" spans="1:16" ht="26.25" hidden="1" thickBot="1" x14ac:dyDescent="0.3">
      <c r="A297" s="52">
        <v>1794</v>
      </c>
      <c r="B297" s="53" t="s">
        <v>58</v>
      </c>
      <c r="C297" s="54" t="s">
        <v>239</v>
      </c>
      <c r="D297" s="53" t="s">
        <v>161</v>
      </c>
      <c r="E297" s="54" t="s">
        <v>163</v>
      </c>
      <c r="F297" s="53" t="s">
        <v>68</v>
      </c>
      <c r="G297" s="55"/>
      <c r="H297" s="56">
        <v>45569</v>
      </c>
      <c r="I297" s="57">
        <v>0.64531250000000007</v>
      </c>
      <c r="J297" s="53" t="s">
        <v>78</v>
      </c>
      <c r="K297" s="54" t="s">
        <v>78</v>
      </c>
      <c r="L297" s="53" t="s">
        <v>238</v>
      </c>
      <c r="M297" s="58" t="s">
        <v>63</v>
      </c>
      <c r="N297" t="str">
        <f t="shared" si="13"/>
        <v>Executed</v>
      </c>
      <c r="O297" t="str">
        <f t="shared" si="15"/>
        <v>Done</v>
      </c>
      <c r="P297" t="str">
        <f t="shared" si="14"/>
        <v>U3400 R6.4 - NIC3 - Broadcast - Load contactor connect via broadcast (immediate, randomisation)</v>
      </c>
    </row>
    <row r="298" spans="1:16" ht="26.25" hidden="1" thickBot="1" x14ac:dyDescent="0.3">
      <c r="A298" s="52">
        <v>1795</v>
      </c>
      <c r="B298" s="53" t="s">
        <v>58</v>
      </c>
      <c r="C298" s="54" t="s">
        <v>239</v>
      </c>
      <c r="D298" s="53" t="s">
        <v>161</v>
      </c>
      <c r="E298" s="54" t="s">
        <v>164</v>
      </c>
      <c r="F298" s="53" t="s">
        <v>68</v>
      </c>
      <c r="G298" s="55"/>
      <c r="H298" s="56">
        <v>45569</v>
      </c>
      <c r="I298" s="57">
        <v>0.65925925925925932</v>
      </c>
      <c r="J298" s="53" t="s">
        <v>69</v>
      </c>
      <c r="K298" s="54" t="s">
        <v>69</v>
      </c>
      <c r="L298" s="53" t="s">
        <v>238</v>
      </c>
      <c r="M298" s="58" t="s">
        <v>63</v>
      </c>
      <c r="N298" t="str">
        <f t="shared" si="13"/>
        <v>Executed</v>
      </c>
      <c r="O298" t="str">
        <f t="shared" si="15"/>
        <v>Done</v>
      </c>
      <c r="P298" t="str">
        <f t="shared" si="14"/>
        <v>U3400 R6.4 - NIC3 - Broadcast - Load contactor connect via broadcast (scheduled, no randomisation)</v>
      </c>
    </row>
    <row r="299" spans="1:16" ht="26.25" hidden="1" thickBot="1" x14ac:dyDescent="0.3">
      <c r="A299" s="52">
        <v>1796</v>
      </c>
      <c r="B299" s="53" t="s">
        <v>58</v>
      </c>
      <c r="C299" s="54" t="s">
        <v>239</v>
      </c>
      <c r="D299" s="53" t="s">
        <v>161</v>
      </c>
      <c r="E299" s="54" t="s">
        <v>165</v>
      </c>
      <c r="F299" s="53" t="s">
        <v>68</v>
      </c>
      <c r="G299" s="55"/>
      <c r="H299" s="56">
        <v>45572</v>
      </c>
      <c r="I299" s="57">
        <v>0.45291666666666663</v>
      </c>
      <c r="J299" s="53" t="s">
        <v>69</v>
      </c>
      <c r="K299" s="54" t="s">
        <v>69</v>
      </c>
      <c r="L299" s="53" t="s">
        <v>238</v>
      </c>
      <c r="M299" s="58" t="s">
        <v>63</v>
      </c>
      <c r="N299" t="str">
        <f t="shared" si="13"/>
        <v>Executed</v>
      </c>
      <c r="O299" t="str">
        <f t="shared" si="15"/>
        <v>Done</v>
      </c>
      <c r="P299" t="str">
        <f t="shared" si="14"/>
        <v>U3400 R6.4 - NIC3 - Broadcast - Load contactor disconnect via broadcast (immediate, no randomisation)</v>
      </c>
    </row>
    <row r="300" spans="1:16" ht="26.25" hidden="1" thickBot="1" x14ac:dyDescent="0.3">
      <c r="A300" s="52">
        <v>1797</v>
      </c>
      <c r="B300" s="53" t="s">
        <v>58</v>
      </c>
      <c r="C300" s="54" t="s">
        <v>239</v>
      </c>
      <c r="D300" s="53" t="s">
        <v>161</v>
      </c>
      <c r="E300" s="54" t="s">
        <v>166</v>
      </c>
      <c r="F300" s="53" t="s">
        <v>68</v>
      </c>
      <c r="G300" s="55"/>
      <c r="H300" s="56">
        <v>45572</v>
      </c>
      <c r="I300" s="57">
        <v>0.46892361111111108</v>
      </c>
      <c r="J300" s="53" t="s">
        <v>78</v>
      </c>
      <c r="K300" s="54" t="s">
        <v>78</v>
      </c>
      <c r="L300" s="53" t="s">
        <v>238</v>
      </c>
      <c r="M300" s="58" t="s">
        <v>63</v>
      </c>
      <c r="N300" t="str">
        <f t="shared" ref="N300:N363" si="16">IF(OR(K300="No Run",K300="Blocked",K300="N/A"),"No Run",IF(OR(K300="RBT"),"RBT","Executed"))</f>
        <v>Executed</v>
      </c>
      <c r="O300" t="str">
        <f t="shared" si="15"/>
        <v>Done</v>
      </c>
      <c r="P300" t="str">
        <f t="shared" ref="P300:P363" si="17">CONCATENATE(C300," - ",E300)</f>
        <v>U3400 R6.4 - NIC3 - Broadcast - Load contactor disconnect via broadcast (immediate, randomisation)</v>
      </c>
    </row>
    <row r="301" spans="1:16" ht="26.25" hidden="1" thickBot="1" x14ac:dyDescent="0.3">
      <c r="A301" s="52">
        <v>1798</v>
      </c>
      <c r="B301" s="53" t="s">
        <v>58</v>
      </c>
      <c r="C301" s="54" t="s">
        <v>239</v>
      </c>
      <c r="D301" s="53" t="s">
        <v>161</v>
      </c>
      <c r="E301" s="54" t="s">
        <v>167</v>
      </c>
      <c r="F301" s="53" t="s">
        <v>68</v>
      </c>
      <c r="G301" s="55"/>
      <c r="H301" s="56">
        <v>45572</v>
      </c>
      <c r="I301" s="57">
        <v>0.48777777777777781</v>
      </c>
      <c r="J301" s="53" t="s">
        <v>69</v>
      </c>
      <c r="K301" s="54" t="s">
        <v>69</v>
      </c>
      <c r="L301" s="53" t="s">
        <v>238</v>
      </c>
      <c r="M301" s="58" t="s">
        <v>63</v>
      </c>
      <c r="N301" t="str">
        <f t="shared" si="16"/>
        <v>Executed</v>
      </c>
      <c r="O301" t="str">
        <f t="shared" si="15"/>
        <v>Done</v>
      </c>
      <c r="P301" t="str">
        <f t="shared" si="17"/>
        <v>U3400 R6.4 - NIC3 - Broadcast - Load contactor disconnect via broadcast (scheduled, no randomisation)</v>
      </c>
    </row>
    <row r="302" spans="1:16" ht="15.75" hidden="1" thickBot="1" x14ac:dyDescent="0.3">
      <c r="A302" s="52">
        <v>129</v>
      </c>
      <c r="B302" s="53" t="s">
        <v>58</v>
      </c>
      <c r="C302" s="54" t="s">
        <v>239</v>
      </c>
      <c r="D302" s="53" t="s">
        <v>161</v>
      </c>
      <c r="E302" s="54" t="s">
        <v>168</v>
      </c>
      <c r="F302" s="53" t="s">
        <v>68</v>
      </c>
      <c r="G302" s="55"/>
      <c r="H302" s="56">
        <v>45560</v>
      </c>
      <c r="I302" s="57">
        <v>0.49909722222222225</v>
      </c>
      <c r="J302" s="53" t="s">
        <v>69</v>
      </c>
      <c r="K302" s="54" t="s">
        <v>69</v>
      </c>
      <c r="L302" s="53" t="s">
        <v>238</v>
      </c>
      <c r="M302" s="58" t="s">
        <v>63</v>
      </c>
      <c r="N302" t="str">
        <f t="shared" si="16"/>
        <v>Executed</v>
      </c>
      <c r="O302" t="str">
        <f t="shared" si="15"/>
        <v>Done</v>
      </c>
      <c r="P302" t="str">
        <f t="shared" si="17"/>
        <v>U3400 R6.4 - NIC3 - Broadcast 01 - Broadcast Groups - UIQ to meter</v>
      </c>
    </row>
    <row r="303" spans="1:16" ht="15.75" hidden="1" thickBot="1" x14ac:dyDescent="0.3">
      <c r="A303" s="52">
        <v>130</v>
      </c>
      <c r="B303" s="53" t="s">
        <v>58</v>
      </c>
      <c r="C303" s="54" t="s">
        <v>239</v>
      </c>
      <c r="D303" s="53" t="s">
        <v>161</v>
      </c>
      <c r="E303" s="54" t="s">
        <v>169</v>
      </c>
      <c r="F303" s="53" t="s">
        <v>68</v>
      </c>
      <c r="G303" s="55"/>
      <c r="H303" s="56">
        <v>45560</v>
      </c>
      <c r="I303" s="57">
        <v>0.56486111111111115</v>
      </c>
      <c r="J303" s="53" t="s">
        <v>69</v>
      </c>
      <c r="K303" s="54" t="s">
        <v>69</v>
      </c>
      <c r="L303" s="53" t="s">
        <v>238</v>
      </c>
      <c r="M303" s="58" t="s">
        <v>63</v>
      </c>
      <c r="N303" t="str">
        <f t="shared" si="16"/>
        <v>Executed</v>
      </c>
      <c r="O303" t="str">
        <f t="shared" si="15"/>
        <v>Done</v>
      </c>
      <c r="P303" t="str">
        <f t="shared" si="17"/>
        <v>U3400 R6.4 - NIC3 - Broadcast 02 - Broadcast Groups - meter to UIQ</v>
      </c>
    </row>
    <row r="304" spans="1:16" ht="15.75" hidden="1" thickBot="1" x14ac:dyDescent="0.3">
      <c r="A304" s="52">
        <v>137</v>
      </c>
      <c r="B304" s="53" t="s">
        <v>58</v>
      </c>
      <c r="C304" s="54" t="s">
        <v>239</v>
      </c>
      <c r="D304" s="53" t="s">
        <v>161</v>
      </c>
      <c r="E304" s="54" t="s">
        <v>170</v>
      </c>
      <c r="F304" s="53" t="s">
        <v>68</v>
      </c>
      <c r="G304" s="55"/>
      <c r="H304" s="56">
        <v>45569</v>
      </c>
      <c r="I304" s="57">
        <v>0.54442129629629632</v>
      </c>
      <c r="J304" s="53" t="s">
        <v>69</v>
      </c>
      <c r="K304" s="54" t="s">
        <v>69</v>
      </c>
      <c r="L304" s="53" t="s">
        <v>238</v>
      </c>
      <c r="M304" s="58" t="s">
        <v>63</v>
      </c>
      <c r="N304" t="str">
        <f t="shared" si="16"/>
        <v>Executed</v>
      </c>
      <c r="O304" t="str">
        <f t="shared" si="15"/>
        <v>Done</v>
      </c>
      <c r="P304" t="str">
        <f t="shared" si="17"/>
        <v>U3400 R6.4 - NIC3 - Broadcast 08 - ESCC opeation via broadcast</v>
      </c>
    </row>
    <row r="305" spans="1:16" ht="15.75" hidden="1" thickBot="1" x14ac:dyDescent="0.3">
      <c r="A305" s="52">
        <v>136</v>
      </c>
      <c r="B305" s="53" t="s">
        <v>58</v>
      </c>
      <c r="C305" s="54" t="s">
        <v>239</v>
      </c>
      <c r="D305" s="53" t="s">
        <v>161</v>
      </c>
      <c r="E305" s="54" t="s">
        <v>171</v>
      </c>
      <c r="F305" s="53" t="s">
        <v>68</v>
      </c>
      <c r="G305" s="55"/>
      <c r="H305" s="56">
        <v>45569</v>
      </c>
      <c r="I305" s="57">
        <v>0.60303240740740738</v>
      </c>
      <c r="J305" s="53" t="s">
        <v>69</v>
      </c>
      <c r="K305" s="54" t="s">
        <v>69</v>
      </c>
      <c r="L305" s="53" t="s">
        <v>238</v>
      </c>
      <c r="M305" s="58" t="s">
        <v>63</v>
      </c>
      <c r="N305" t="str">
        <f t="shared" si="16"/>
        <v>Executed</v>
      </c>
      <c r="O305" t="str">
        <f t="shared" si="15"/>
        <v>Done</v>
      </c>
      <c r="P305" t="str">
        <f t="shared" si="17"/>
        <v>U3400 R6.4 - NIC3 - Broadcast 09 - Load contactor opeation via broadcast</v>
      </c>
    </row>
    <row r="306" spans="1:16" ht="26.25" hidden="1" thickBot="1" x14ac:dyDescent="0.3">
      <c r="A306" s="52">
        <v>1793</v>
      </c>
      <c r="B306" s="53" t="s">
        <v>58</v>
      </c>
      <c r="C306" s="54" t="s">
        <v>241</v>
      </c>
      <c r="D306" s="53" t="s">
        <v>161</v>
      </c>
      <c r="E306" s="54" t="s">
        <v>162</v>
      </c>
      <c r="F306" s="53" t="s">
        <v>68</v>
      </c>
      <c r="G306" s="55"/>
      <c r="H306" s="56">
        <v>45561</v>
      </c>
      <c r="I306" s="57">
        <v>0.5079745370370371</v>
      </c>
      <c r="J306" s="53" t="s">
        <v>69</v>
      </c>
      <c r="K306" s="54" t="s">
        <v>69</v>
      </c>
      <c r="L306" s="53" t="s">
        <v>242</v>
      </c>
      <c r="M306" s="58" t="s">
        <v>64</v>
      </c>
      <c r="N306" t="str">
        <f t="shared" si="16"/>
        <v>Executed</v>
      </c>
      <c r="O306" t="str">
        <f t="shared" si="15"/>
        <v>Done</v>
      </c>
      <c r="P306" t="str">
        <f t="shared" si="17"/>
        <v>U1300 R6.4 - NIC3 - Broadcast - Load contactor connect via broadcast (immediate, no randomisation)</v>
      </c>
    </row>
    <row r="307" spans="1:16" ht="26.25" hidden="1" thickBot="1" x14ac:dyDescent="0.3">
      <c r="A307" s="52">
        <v>1794</v>
      </c>
      <c r="B307" s="53" t="s">
        <v>58</v>
      </c>
      <c r="C307" s="54" t="s">
        <v>241</v>
      </c>
      <c r="D307" s="53" t="s">
        <v>161</v>
      </c>
      <c r="E307" s="54" t="s">
        <v>163</v>
      </c>
      <c r="F307" s="53" t="s">
        <v>68</v>
      </c>
      <c r="G307" s="55"/>
      <c r="H307" s="56">
        <v>45561</v>
      </c>
      <c r="I307" s="57">
        <v>0.54906250000000001</v>
      </c>
      <c r="J307" s="53" t="s">
        <v>78</v>
      </c>
      <c r="K307" s="54" t="s">
        <v>78</v>
      </c>
      <c r="L307" s="53" t="s">
        <v>242</v>
      </c>
      <c r="M307" s="58" t="s">
        <v>64</v>
      </c>
      <c r="N307" t="str">
        <f t="shared" si="16"/>
        <v>Executed</v>
      </c>
      <c r="O307" t="str">
        <f t="shared" si="15"/>
        <v>Done</v>
      </c>
      <c r="P307" t="str">
        <f t="shared" si="17"/>
        <v>U1300 R6.4 - NIC3 - Broadcast - Load contactor connect via broadcast (immediate, randomisation)</v>
      </c>
    </row>
    <row r="308" spans="1:16" ht="26.25" hidden="1" thickBot="1" x14ac:dyDescent="0.3">
      <c r="A308" s="52">
        <v>1795</v>
      </c>
      <c r="B308" s="53" t="s">
        <v>58</v>
      </c>
      <c r="C308" s="54" t="s">
        <v>241</v>
      </c>
      <c r="D308" s="53" t="s">
        <v>161</v>
      </c>
      <c r="E308" s="54" t="s">
        <v>164</v>
      </c>
      <c r="F308" s="53" t="s">
        <v>68</v>
      </c>
      <c r="G308" s="55"/>
      <c r="H308" s="56">
        <v>45561</v>
      </c>
      <c r="I308" s="57">
        <v>0.59103009259259254</v>
      </c>
      <c r="J308" s="53" t="s">
        <v>69</v>
      </c>
      <c r="K308" s="54" t="s">
        <v>69</v>
      </c>
      <c r="L308" s="53" t="s">
        <v>242</v>
      </c>
      <c r="M308" s="58" t="s">
        <v>64</v>
      </c>
      <c r="N308" t="str">
        <f t="shared" si="16"/>
        <v>Executed</v>
      </c>
      <c r="O308" t="str">
        <f t="shared" si="15"/>
        <v>Done</v>
      </c>
      <c r="P308" t="str">
        <f t="shared" si="17"/>
        <v>U1300 R6.4 - NIC3 - Broadcast - Load contactor connect via broadcast (scheduled, no randomisation)</v>
      </c>
    </row>
    <row r="309" spans="1:16" ht="26.25" hidden="1" thickBot="1" x14ac:dyDescent="0.3">
      <c r="A309" s="52">
        <v>1796</v>
      </c>
      <c r="B309" s="53" t="s">
        <v>58</v>
      </c>
      <c r="C309" s="54" t="s">
        <v>241</v>
      </c>
      <c r="D309" s="53" t="s">
        <v>161</v>
      </c>
      <c r="E309" s="54" t="s">
        <v>165</v>
      </c>
      <c r="F309" s="53" t="s">
        <v>68</v>
      </c>
      <c r="G309" s="55"/>
      <c r="H309" s="56">
        <v>45565</v>
      </c>
      <c r="I309" s="57">
        <v>0.40438657407407402</v>
      </c>
      <c r="J309" s="53" t="s">
        <v>69</v>
      </c>
      <c r="K309" s="54" t="s">
        <v>69</v>
      </c>
      <c r="L309" s="53" t="s">
        <v>242</v>
      </c>
      <c r="M309" s="58" t="s">
        <v>64</v>
      </c>
      <c r="N309" t="str">
        <f t="shared" si="16"/>
        <v>Executed</v>
      </c>
      <c r="O309" t="str">
        <f t="shared" si="15"/>
        <v>Done</v>
      </c>
      <c r="P309" t="str">
        <f t="shared" si="17"/>
        <v>U1300 R6.4 - NIC3 - Broadcast - Load contactor disconnect via broadcast (immediate, no randomisation)</v>
      </c>
    </row>
    <row r="310" spans="1:16" ht="26.25" hidden="1" thickBot="1" x14ac:dyDescent="0.3">
      <c r="A310" s="52">
        <v>1797</v>
      </c>
      <c r="B310" s="53" t="s">
        <v>58</v>
      </c>
      <c r="C310" s="54" t="s">
        <v>241</v>
      </c>
      <c r="D310" s="53" t="s">
        <v>161</v>
      </c>
      <c r="E310" s="54" t="s">
        <v>166</v>
      </c>
      <c r="F310" s="53" t="s">
        <v>68</v>
      </c>
      <c r="G310" s="55"/>
      <c r="H310" s="56">
        <v>45565</v>
      </c>
      <c r="I310" s="57">
        <v>0.42533564814814812</v>
      </c>
      <c r="J310" s="53" t="s">
        <v>78</v>
      </c>
      <c r="K310" s="54" t="s">
        <v>78</v>
      </c>
      <c r="L310" s="53" t="s">
        <v>242</v>
      </c>
      <c r="M310" s="58" t="s">
        <v>64</v>
      </c>
      <c r="N310" t="str">
        <f t="shared" si="16"/>
        <v>Executed</v>
      </c>
      <c r="O310" t="str">
        <f t="shared" si="15"/>
        <v>Done</v>
      </c>
      <c r="P310" t="str">
        <f t="shared" si="17"/>
        <v>U1300 R6.4 - NIC3 - Broadcast - Load contactor disconnect via broadcast (immediate, randomisation)</v>
      </c>
    </row>
    <row r="311" spans="1:16" ht="26.25" hidden="1" thickBot="1" x14ac:dyDescent="0.3">
      <c r="A311" s="52">
        <v>1798</v>
      </c>
      <c r="B311" s="53" t="s">
        <v>58</v>
      </c>
      <c r="C311" s="54" t="s">
        <v>241</v>
      </c>
      <c r="D311" s="53" t="s">
        <v>161</v>
      </c>
      <c r="E311" s="54" t="s">
        <v>167</v>
      </c>
      <c r="F311" s="53" t="s">
        <v>68</v>
      </c>
      <c r="G311" s="55"/>
      <c r="H311" s="56">
        <v>45565</v>
      </c>
      <c r="I311" s="57">
        <v>0.44710648148148152</v>
      </c>
      <c r="J311" s="53" t="s">
        <v>69</v>
      </c>
      <c r="K311" s="54" t="s">
        <v>69</v>
      </c>
      <c r="L311" s="53" t="s">
        <v>242</v>
      </c>
      <c r="M311" s="58" t="s">
        <v>64</v>
      </c>
      <c r="N311" t="str">
        <f t="shared" si="16"/>
        <v>Executed</v>
      </c>
      <c r="O311" t="str">
        <f t="shared" si="15"/>
        <v>Done</v>
      </c>
      <c r="P311" t="str">
        <f t="shared" si="17"/>
        <v>U1300 R6.4 - NIC3 - Broadcast - Load contactor disconnect via broadcast (scheduled, no randomisation)</v>
      </c>
    </row>
    <row r="312" spans="1:16" ht="15.75" hidden="1" thickBot="1" x14ac:dyDescent="0.3">
      <c r="A312" s="52">
        <v>129</v>
      </c>
      <c r="B312" s="53" t="s">
        <v>58</v>
      </c>
      <c r="C312" s="54" t="s">
        <v>241</v>
      </c>
      <c r="D312" s="53" t="s">
        <v>161</v>
      </c>
      <c r="E312" s="54" t="s">
        <v>168</v>
      </c>
      <c r="F312" s="53" t="s">
        <v>68</v>
      </c>
      <c r="G312" s="55"/>
      <c r="H312" s="56">
        <v>45555</v>
      </c>
      <c r="I312" s="57">
        <v>0.70174768518518515</v>
      </c>
      <c r="J312" s="53" t="s">
        <v>69</v>
      </c>
      <c r="K312" s="54" t="s">
        <v>69</v>
      </c>
      <c r="L312" s="53" t="s">
        <v>242</v>
      </c>
      <c r="M312" s="58" t="s">
        <v>64</v>
      </c>
      <c r="N312" t="str">
        <f t="shared" si="16"/>
        <v>Executed</v>
      </c>
      <c r="O312" t="str">
        <f t="shared" si="15"/>
        <v>Done</v>
      </c>
      <c r="P312" t="str">
        <f t="shared" si="17"/>
        <v>U1300 R6.4 - NIC3 - Broadcast 01 - Broadcast Groups - UIQ to meter</v>
      </c>
    </row>
    <row r="313" spans="1:16" ht="15.75" hidden="1" thickBot="1" x14ac:dyDescent="0.3">
      <c r="A313" s="52">
        <v>130</v>
      </c>
      <c r="B313" s="53" t="s">
        <v>58</v>
      </c>
      <c r="C313" s="54" t="s">
        <v>241</v>
      </c>
      <c r="D313" s="53" t="s">
        <v>161</v>
      </c>
      <c r="E313" s="54" t="s">
        <v>169</v>
      </c>
      <c r="F313" s="53" t="s">
        <v>68</v>
      </c>
      <c r="G313" s="55"/>
      <c r="H313" s="56">
        <v>45561</v>
      </c>
      <c r="I313" s="57">
        <v>0.46061342592592597</v>
      </c>
      <c r="J313" s="53" t="s">
        <v>69</v>
      </c>
      <c r="K313" s="54" t="s">
        <v>69</v>
      </c>
      <c r="L313" s="53" t="s">
        <v>242</v>
      </c>
      <c r="M313" s="58" t="s">
        <v>64</v>
      </c>
      <c r="N313" t="str">
        <f t="shared" si="16"/>
        <v>Executed</v>
      </c>
      <c r="O313" t="str">
        <f t="shared" si="15"/>
        <v>Done</v>
      </c>
      <c r="P313" t="str">
        <f t="shared" si="17"/>
        <v>U1300 R6.4 - NIC3 - Broadcast 02 - Broadcast Groups - meter to UIQ</v>
      </c>
    </row>
    <row r="314" spans="1:16" ht="15.75" hidden="1" thickBot="1" x14ac:dyDescent="0.3">
      <c r="A314" s="52">
        <v>137</v>
      </c>
      <c r="B314" s="53" t="s">
        <v>58</v>
      </c>
      <c r="C314" s="54" t="s">
        <v>241</v>
      </c>
      <c r="D314" s="53" t="s">
        <v>161</v>
      </c>
      <c r="E314" s="54" t="s">
        <v>170</v>
      </c>
      <c r="F314" s="53" t="s">
        <v>68</v>
      </c>
      <c r="G314" s="55"/>
      <c r="H314" s="56">
        <v>45565</v>
      </c>
      <c r="I314" s="57">
        <v>0.50151620370370364</v>
      </c>
      <c r="J314" s="53" t="s">
        <v>69</v>
      </c>
      <c r="K314" s="54" t="s">
        <v>69</v>
      </c>
      <c r="L314" s="53" t="s">
        <v>242</v>
      </c>
      <c r="M314" s="58" t="s">
        <v>64</v>
      </c>
      <c r="N314" t="str">
        <f t="shared" si="16"/>
        <v>Executed</v>
      </c>
      <c r="O314" t="str">
        <f t="shared" si="15"/>
        <v>Done</v>
      </c>
      <c r="P314" t="str">
        <f t="shared" si="17"/>
        <v>U1300 R6.4 - NIC3 - Broadcast 08 - ESCC opeation via broadcast</v>
      </c>
    </row>
    <row r="315" spans="1:16" ht="15.75" hidden="1" thickBot="1" x14ac:dyDescent="0.3">
      <c r="A315" s="52">
        <v>136</v>
      </c>
      <c r="B315" s="53" t="s">
        <v>58</v>
      </c>
      <c r="C315" s="54" t="s">
        <v>241</v>
      </c>
      <c r="D315" s="53" t="s">
        <v>161</v>
      </c>
      <c r="E315" s="54" t="s">
        <v>171</v>
      </c>
      <c r="F315" s="53" t="s">
        <v>68</v>
      </c>
      <c r="G315" s="55"/>
      <c r="H315" s="56">
        <v>45565</v>
      </c>
      <c r="I315" s="57">
        <v>0.7171412037037036</v>
      </c>
      <c r="J315" s="53" t="s">
        <v>69</v>
      </c>
      <c r="K315" s="54" t="s">
        <v>69</v>
      </c>
      <c r="L315" s="53" t="s">
        <v>242</v>
      </c>
      <c r="M315" s="58" t="s">
        <v>64</v>
      </c>
      <c r="N315" t="str">
        <f t="shared" si="16"/>
        <v>Executed</v>
      </c>
      <c r="O315" t="str">
        <f t="shared" si="15"/>
        <v>Done</v>
      </c>
      <c r="P315" t="str">
        <f t="shared" si="17"/>
        <v>U1300 R6.4 - NIC3 - Broadcast 09 - Load contactor opeation via broadcast</v>
      </c>
    </row>
    <row r="316" spans="1:16" ht="26.25" hidden="1" thickBot="1" x14ac:dyDescent="0.3">
      <c r="A316" s="52">
        <v>1793</v>
      </c>
      <c r="B316" s="53" t="s">
        <v>58</v>
      </c>
      <c r="C316" s="54" t="s">
        <v>237</v>
      </c>
      <c r="D316" s="53" t="s">
        <v>161</v>
      </c>
      <c r="E316" s="54" t="s">
        <v>162</v>
      </c>
      <c r="F316" s="53" t="s">
        <v>68</v>
      </c>
      <c r="G316" s="55"/>
      <c r="H316" s="56">
        <v>45569</v>
      </c>
      <c r="I316" s="57">
        <v>0.62768518518518512</v>
      </c>
      <c r="J316" s="53" t="s">
        <v>69</v>
      </c>
      <c r="K316" s="54" t="s">
        <v>69</v>
      </c>
      <c r="L316" s="53" t="s">
        <v>238</v>
      </c>
      <c r="M316" s="58" t="s">
        <v>63</v>
      </c>
      <c r="N316" t="str">
        <f t="shared" si="16"/>
        <v>Executed</v>
      </c>
      <c r="O316" t="str">
        <f t="shared" si="15"/>
        <v>Done</v>
      </c>
      <c r="P316" t="str">
        <f t="shared" si="17"/>
        <v>U3400 R6.4 - NIC5 - Broadcast - Load contactor connect via broadcast (immediate, no randomisation)</v>
      </c>
    </row>
    <row r="317" spans="1:16" ht="26.25" hidden="1" thickBot="1" x14ac:dyDescent="0.3">
      <c r="A317" s="52">
        <v>1794</v>
      </c>
      <c r="B317" s="53" t="s">
        <v>58</v>
      </c>
      <c r="C317" s="54" t="s">
        <v>237</v>
      </c>
      <c r="D317" s="53" t="s">
        <v>161</v>
      </c>
      <c r="E317" s="54" t="s">
        <v>163</v>
      </c>
      <c r="F317" s="53" t="s">
        <v>68</v>
      </c>
      <c r="G317" s="55"/>
      <c r="H317" s="56">
        <v>45569</v>
      </c>
      <c r="I317" s="57">
        <v>0.64476851851851846</v>
      </c>
      <c r="J317" s="53" t="s">
        <v>78</v>
      </c>
      <c r="K317" s="54" t="s">
        <v>78</v>
      </c>
      <c r="L317" s="53" t="s">
        <v>238</v>
      </c>
      <c r="M317" s="58" t="s">
        <v>63</v>
      </c>
      <c r="N317" t="str">
        <f t="shared" si="16"/>
        <v>Executed</v>
      </c>
      <c r="O317" t="str">
        <f t="shared" si="15"/>
        <v>Done</v>
      </c>
      <c r="P317" t="str">
        <f t="shared" si="17"/>
        <v>U3400 R6.4 - NIC5 - Broadcast - Load contactor connect via broadcast (immediate, randomisation)</v>
      </c>
    </row>
    <row r="318" spans="1:16" ht="26.25" hidden="1" thickBot="1" x14ac:dyDescent="0.3">
      <c r="A318" s="52">
        <v>1795</v>
      </c>
      <c r="B318" s="53" t="s">
        <v>58</v>
      </c>
      <c r="C318" s="54" t="s">
        <v>237</v>
      </c>
      <c r="D318" s="53" t="s">
        <v>161</v>
      </c>
      <c r="E318" s="54" t="s">
        <v>164</v>
      </c>
      <c r="F318" s="53" t="s">
        <v>68</v>
      </c>
      <c r="G318" s="55"/>
      <c r="H318" s="56">
        <v>45569</v>
      </c>
      <c r="I318" s="57">
        <v>0.6590625</v>
      </c>
      <c r="J318" s="53" t="s">
        <v>69</v>
      </c>
      <c r="K318" s="54" t="s">
        <v>69</v>
      </c>
      <c r="L318" s="53" t="s">
        <v>238</v>
      </c>
      <c r="M318" s="58" t="s">
        <v>63</v>
      </c>
      <c r="N318" t="str">
        <f t="shared" si="16"/>
        <v>Executed</v>
      </c>
      <c r="O318" t="str">
        <f t="shared" si="15"/>
        <v>Done</v>
      </c>
      <c r="P318" t="str">
        <f t="shared" si="17"/>
        <v>U3400 R6.4 - NIC5 - Broadcast - Load contactor connect via broadcast (scheduled, no randomisation)</v>
      </c>
    </row>
    <row r="319" spans="1:16" ht="26.25" hidden="1" thickBot="1" x14ac:dyDescent="0.3">
      <c r="A319" s="52">
        <v>1796</v>
      </c>
      <c r="B319" s="53" t="s">
        <v>58</v>
      </c>
      <c r="C319" s="54" t="s">
        <v>237</v>
      </c>
      <c r="D319" s="53" t="s">
        <v>161</v>
      </c>
      <c r="E319" s="54" t="s">
        <v>165</v>
      </c>
      <c r="F319" s="53" t="s">
        <v>68</v>
      </c>
      <c r="G319" s="55"/>
      <c r="H319" s="56">
        <v>45572</v>
      </c>
      <c r="I319" s="57">
        <v>0.45292824074074073</v>
      </c>
      <c r="J319" s="53" t="s">
        <v>69</v>
      </c>
      <c r="K319" s="54" t="s">
        <v>69</v>
      </c>
      <c r="L319" s="53" t="s">
        <v>238</v>
      </c>
      <c r="M319" s="58" t="s">
        <v>63</v>
      </c>
      <c r="N319" t="str">
        <f t="shared" si="16"/>
        <v>Executed</v>
      </c>
      <c r="O319" t="str">
        <f t="shared" si="15"/>
        <v>Done</v>
      </c>
      <c r="P319" t="str">
        <f t="shared" si="17"/>
        <v>U3400 R6.4 - NIC5 - Broadcast - Load contactor disconnect via broadcast (immediate, no randomisation)</v>
      </c>
    </row>
    <row r="320" spans="1:16" ht="26.25" hidden="1" thickBot="1" x14ac:dyDescent="0.3">
      <c r="A320" s="52">
        <v>1797</v>
      </c>
      <c r="B320" s="53" t="s">
        <v>58</v>
      </c>
      <c r="C320" s="54" t="s">
        <v>237</v>
      </c>
      <c r="D320" s="53" t="s">
        <v>161</v>
      </c>
      <c r="E320" s="54" t="s">
        <v>166</v>
      </c>
      <c r="F320" s="53" t="s">
        <v>68</v>
      </c>
      <c r="G320" s="55"/>
      <c r="H320" s="56">
        <v>45572</v>
      </c>
      <c r="I320" s="57">
        <v>0.46888888888888891</v>
      </c>
      <c r="J320" s="53" t="s">
        <v>78</v>
      </c>
      <c r="K320" s="54" t="s">
        <v>78</v>
      </c>
      <c r="L320" s="53" t="s">
        <v>238</v>
      </c>
      <c r="M320" s="58" t="s">
        <v>63</v>
      </c>
      <c r="N320" t="str">
        <f t="shared" si="16"/>
        <v>Executed</v>
      </c>
      <c r="O320" t="str">
        <f t="shared" si="15"/>
        <v>Done</v>
      </c>
      <c r="P320" t="str">
        <f t="shared" si="17"/>
        <v>U3400 R6.4 - NIC5 - Broadcast - Load contactor disconnect via broadcast (immediate, randomisation)</v>
      </c>
    </row>
    <row r="321" spans="1:16" ht="26.25" hidden="1" thickBot="1" x14ac:dyDescent="0.3">
      <c r="A321" s="52">
        <v>1798</v>
      </c>
      <c r="B321" s="53" t="s">
        <v>58</v>
      </c>
      <c r="C321" s="54" t="s">
        <v>237</v>
      </c>
      <c r="D321" s="53" t="s">
        <v>161</v>
      </c>
      <c r="E321" s="54" t="s">
        <v>167</v>
      </c>
      <c r="F321" s="53" t="s">
        <v>68</v>
      </c>
      <c r="G321" s="55"/>
      <c r="H321" s="56">
        <v>45572</v>
      </c>
      <c r="I321" s="57">
        <v>0.48780092592592594</v>
      </c>
      <c r="J321" s="53" t="s">
        <v>69</v>
      </c>
      <c r="K321" s="54" t="s">
        <v>69</v>
      </c>
      <c r="L321" s="53" t="s">
        <v>238</v>
      </c>
      <c r="M321" s="58" t="s">
        <v>63</v>
      </c>
      <c r="N321" t="str">
        <f t="shared" si="16"/>
        <v>Executed</v>
      </c>
      <c r="O321" t="str">
        <f t="shared" si="15"/>
        <v>Done</v>
      </c>
      <c r="P321" t="str">
        <f t="shared" si="17"/>
        <v>U3400 R6.4 - NIC5 - Broadcast - Load contactor disconnect via broadcast (scheduled, no randomisation)</v>
      </c>
    </row>
    <row r="322" spans="1:16" ht="15.75" hidden="1" thickBot="1" x14ac:dyDescent="0.3">
      <c r="A322" s="52">
        <v>129</v>
      </c>
      <c r="B322" s="53" t="s">
        <v>58</v>
      </c>
      <c r="C322" s="54" t="s">
        <v>237</v>
      </c>
      <c r="D322" s="53" t="s">
        <v>161</v>
      </c>
      <c r="E322" s="54" t="s">
        <v>168</v>
      </c>
      <c r="F322" s="53" t="s">
        <v>68</v>
      </c>
      <c r="G322" s="55"/>
      <c r="H322" s="56">
        <v>45560</v>
      </c>
      <c r="I322" s="57">
        <v>0.49982638888888892</v>
      </c>
      <c r="J322" s="53" t="s">
        <v>69</v>
      </c>
      <c r="K322" s="54" t="s">
        <v>69</v>
      </c>
      <c r="L322" s="53" t="s">
        <v>238</v>
      </c>
      <c r="M322" s="58" t="s">
        <v>63</v>
      </c>
      <c r="N322" t="str">
        <f t="shared" si="16"/>
        <v>Executed</v>
      </c>
      <c r="O322" t="str">
        <f t="shared" si="15"/>
        <v>Done</v>
      </c>
      <c r="P322" t="str">
        <f t="shared" si="17"/>
        <v>U3400 R6.4 - NIC5 - Broadcast 01 - Broadcast Groups - UIQ to meter</v>
      </c>
    </row>
    <row r="323" spans="1:16" ht="15.75" hidden="1" thickBot="1" x14ac:dyDescent="0.3">
      <c r="A323" s="52">
        <v>130</v>
      </c>
      <c r="B323" s="53" t="s">
        <v>58</v>
      </c>
      <c r="C323" s="54" t="s">
        <v>237</v>
      </c>
      <c r="D323" s="53" t="s">
        <v>161</v>
      </c>
      <c r="E323" s="54" t="s">
        <v>169</v>
      </c>
      <c r="F323" s="53" t="s">
        <v>68</v>
      </c>
      <c r="G323" s="55"/>
      <c r="H323" s="56">
        <v>45560</v>
      </c>
      <c r="I323" s="57">
        <v>0.56481481481481477</v>
      </c>
      <c r="J323" s="53" t="s">
        <v>69</v>
      </c>
      <c r="K323" s="54" t="s">
        <v>69</v>
      </c>
      <c r="L323" s="53" t="s">
        <v>238</v>
      </c>
      <c r="M323" s="58" t="s">
        <v>63</v>
      </c>
      <c r="N323" t="str">
        <f t="shared" si="16"/>
        <v>Executed</v>
      </c>
      <c r="O323" t="str">
        <f t="shared" ref="O323:O363" si="18">IF(OR(K323="No Run",K323="Not Completed"),"Unfinished",IF(OR(K323="asdfs"),"RBT",IF(OR(K323="N/A"),"N/A",IF(OR(K323="Passed",K323="Failed",K323="RBT"),"Done",IF(OR(K323="Blocked"),"Blocked","-")))))</f>
        <v>Done</v>
      </c>
      <c r="P323" t="str">
        <f t="shared" si="17"/>
        <v>U3400 R6.4 - NIC5 - Broadcast 02 - Broadcast Groups - meter to UIQ</v>
      </c>
    </row>
    <row r="324" spans="1:16" ht="15.75" hidden="1" thickBot="1" x14ac:dyDescent="0.3">
      <c r="A324" s="52">
        <v>137</v>
      </c>
      <c r="B324" s="53" t="s">
        <v>58</v>
      </c>
      <c r="C324" s="54" t="s">
        <v>237</v>
      </c>
      <c r="D324" s="53" t="s">
        <v>161</v>
      </c>
      <c r="E324" s="54" t="s">
        <v>170</v>
      </c>
      <c r="F324" s="53" t="s">
        <v>68</v>
      </c>
      <c r="G324" s="55"/>
      <c r="H324" s="56">
        <v>45569</v>
      </c>
      <c r="I324" s="57">
        <v>0.5443634259259259</v>
      </c>
      <c r="J324" s="53" t="s">
        <v>69</v>
      </c>
      <c r="K324" s="54" t="s">
        <v>69</v>
      </c>
      <c r="L324" s="53" t="s">
        <v>238</v>
      </c>
      <c r="M324" s="58" t="s">
        <v>63</v>
      </c>
      <c r="N324" t="str">
        <f t="shared" si="16"/>
        <v>Executed</v>
      </c>
      <c r="O324" t="str">
        <f t="shared" si="18"/>
        <v>Done</v>
      </c>
      <c r="P324" t="str">
        <f t="shared" si="17"/>
        <v>U3400 R6.4 - NIC5 - Broadcast 08 - ESCC opeation via broadcast</v>
      </c>
    </row>
    <row r="325" spans="1:16" ht="15.75" hidden="1" thickBot="1" x14ac:dyDescent="0.3">
      <c r="A325" s="52">
        <v>136</v>
      </c>
      <c r="B325" s="53" t="s">
        <v>58</v>
      </c>
      <c r="C325" s="54" t="s">
        <v>237</v>
      </c>
      <c r="D325" s="53" t="s">
        <v>161</v>
      </c>
      <c r="E325" s="54" t="s">
        <v>171</v>
      </c>
      <c r="F325" s="53" t="s">
        <v>68</v>
      </c>
      <c r="G325" s="55"/>
      <c r="H325" s="56">
        <v>45569</v>
      </c>
      <c r="I325" s="57">
        <v>0.60297453703703707</v>
      </c>
      <c r="J325" s="53" t="s">
        <v>69</v>
      </c>
      <c r="K325" s="54" t="s">
        <v>69</v>
      </c>
      <c r="L325" s="53" t="s">
        <v>238</v>
      </c>
      <c r="M325" s="58" t="s">
        <v>63</v>
      </c>
      <c r="N325" t="str">
        <f t="shared" si="16"/>
        <v>Executed</v>
      </c>
      <c r="O325" t="str">
        <f t="shared" si="18"/>
        <v>Done</v>
      </c>
      <c r="P325" t="str">
        <f t="shared" si="17"/>
        <v>U3400 R6.4 - NIC5 - Broadcast 09 - Load contactor opeation via broadcast</v>
      </c>
    </row>
    <row r="326" spans="1:16" ht="26.25" hidden="1" thickBot="1" x14ac:dyDescent="0.3">
      <c r="A326" s="52">
        <v>1793</v>
      </c>
      <c r="B326" s="53" t="s">
        <v>58</v>
      </c>
      <c r="C326" s="54" t="s">
        <v>240</v>
      </c>
      <c r="D326" s="53" t="s">
        <v>161</v>
      </c>
      <c r="E326" s="54" t="s">
        <v>162</v>
      </c>
      <c r="F326" s="53" t="s">
        <v>68</v>
      </c>
      <c r="G326" s="55"/>
      <c r="H326" s="56">
        <v>45561</v>
      </c>
      <c r="I326" s="57">
        <v>0.51043981481481482</v>
      </c>
      <c r="J326" s="53" t="s">
        <v>69</v>
      </c>
      <c r="K326" s="54" t="s">
        <v>69</v>
      </c>
      <c r="L326" s="53" t="s">
        <v>242</v>
      </c>
      <c r="M326" s="58" t="s">
        <v>64</v>
      </c>
      <c r="N326" t="str">
        <f t="shared" si="16"/>
        <v>Executed</v>
      </c>
      <c r="O326" t="str">
        <f t="shared" si="18"/>
        <v>Done</v>
      </c>
      <c r="P326" t="str">
        <f t="shared" si="17"/>
        <v>U1300 R6.4 - NIC5 - Broadcast - Load contactor connect via broadcast (immediate, no randomisation)</v>
      </c>
    </row>
    <row r="327" spans="1:16" ht="26.25" hidden="1" thickBot="1" x14ac:dyDescent="0.3">
      <c r="A327" s="52">
        <v>1794</v>
      </c>
      <c r="B327" s="53" t="s">
        <v>58</v>
      </c>
      <c r="C327" s="54" t="s">
        <v>240</v>
      </c>
      <c r="D327" s="53" t="s">
        <v>161</v>
      </c>
      <c r="E327" s="54" t="s">
        <v>163</v>
      </c>
      <c r="F327" s="53" t="s">
        <v>68</v>
      </c>
      <c r="G327" s="55"/>
      <c r="H327" s="56">
        <v>45561</v>
      </c>
      <c r="I327" s="57">
        <v>0.54876157407407411</v>
      </c>
      <c r="J327" s="53" t="s">
        <v>78</v>
      </c>
      <c r="K327" s="54" t="s">
        <v>78</v>
      </c>
      <c r="L327" s="53" t="s">
        <v>242</v>
      </c>
      <c r="M327" s="58" t="s">
        <v>64</v>
      </c>
      <c r="N327" t="str">
        <f t="shared" si="16"/>
        <v>Executed</v>
      </c>
      <c r="O327" t="str">
        <f t="shared" si="18"/>
        <v>Done</v>
      </c>
      <c r="P327" t="str">
        <f t="shared" si="17"/>
        <v>U1300 R6.4 - NIC5 - Broadcast - Load contactor connect via broadcast (immediate, randomisation)</v>
      </c>
    </row>
    <row r="328" spans="1:16" ht="26.25" hidden="1" thickBot="1" x14ac:dyDescent="0.3">
      <c r="A328" s="52">
        <v>1795</v>
      </c>
      <c r="B328" s="53" t="s">
        <v>58</v>
      </c>
      <c r="C328" s="54" t="s">
        <v>240</v>
      </c>
      <c r="D328" s="53" t="s">
        <v>161</v>
      </c>
      <c r="E328" s="54" t="s">
        <v>164</v>
      </c>
      <c r="F328" s="53" t="s">
        <v>68</v>
      </c>
      <c r="G328" s="55"/>
      <c r="H328" s="56">
        <v>45561</v>
      </c>
      <c r="I328" s="57">
        <v>0.59271990740740743</v>
      </c>
      <c r="J328" s="53" t="s">
        <v>69</v>
      </c>
      <c r="K328" s="54" t="s">
        <v>69</v>
      </c>
      <c r="L328" s="53" t="s">
        <v>242</v>
      </c>
      <c r="M328" s="58" t="s">
        <v>64</v>
      </c>
      <c r="N328" t="str">
        <f t="shared" si="16"/>
        <v>Executed</v>
      </c>
      <c r="O328" t="str">
        <f t="shared" si="18"/>
        <v>Done</v>
      </c>
      <c r="P328" t="str">
        <f t="shared" si="17"/>
        <v>U1300 R6.4 - NIC5 - Broadcast - Load contactor connect via broadcast (scheduled, no randomisation)</v>
      </c>
    </row>
    <row r="329" spans="1:16" ht="26.25" hidden="1" thickBot="1" x14ac:dyDescent="0.3">
      <c r="A329" s="52">
        <v>1796</v>
      </c>
      <c r="B329" s="53" t="s">
        <v>58</v>
      </c>
      <c r="C329" s="54" t="s">
        <v>240</v>
      </c>
      <c r="D329" s="53" t="s">
        <v>161</v>
      </c>
      <c r="E329" s="54" t="s">
        <v>165</v>
      </c>
      <c r="F329" s="53" t="s">
        <v>68</v>
      </c>
      <c r="G329" s="55"/>
      <c r="H329" s="56">
        <v>45565</v>
      </c>
      <c r="I329" s="57">
        <v>0.40504629629629635</v>
      </c>
      <c r="J329" s="53" t="s">
        <v>69</v>
      </c>
      <c r="K329" s="54" t="s">
        <v>69</v>
      </c>
      <c r="L329" s="53" t="s">
        <v>242</v>
      </c>
      <c r="M329" s="58" t="s">
        <v>64</v>
      </c>
      <c r="N329" t="str">
        <f t="shared" si="16"/>
        <v>Executed</v>
      </c>
      <c r="O329" t="str">
        <f t="shared" si="18"/>
        <v>Done</v>
      </c>
      <c r="P329" t="str">
        <f t="shared" si="17"/>
        <v>U1300 R6.4 - NIC5 - Broadcast - Load contactor disconnect via broadcast (immediate, no randomisation)</v>
      </c>
    </row>
    <row r="330" spans="1:16" ht="26.25" hidden="1" thickBot="1" x14ac:dyDescent="0.3">
      <c r="A330" s="52">
        <v>1797</v>
      </c>
      <c r="B330" s="53" t="s">
        <v>58</v>
      </c>
      <c r="C330" s="54" t="s">
        <v>240</v>
      </c>
      <c r="D330" s="53" t="s">
        <v>161</v>
      </c>
      <c r="E330" s="54" t="s">
        <v>166</v>
      </c>
      <c r="F330" s="53" t="s">
        <v>68</v>
      </c>
      <c r="G330" s="55"/>
      <c r="H330" s="56">
        <v>45581</v>
      </c>
      <c r="I330" s="57">
        <v>0.61042824074074076</v>
      </c>
      <c r="J330" s="53" t="s">
        <v>78</v>
      </c>
      <c r="K330" s="54" t="s">
        <v>78</v>
      </c>
      <c r="L330" s="53" t="s">
        <v>242</v>
      </c>
      <c r="M330" s="58" t="s">
        <v>64</v>
      </c>
      <c r="N330" t="str">
        <f t="shared" si="16"/>
        <v>Executed</v>
      </c>
      <c r="O330" t="str">
        <f t="shared" si="18"/>
        <v>Done</v>
      </c>
      <c r="P330" t="str">
        <f t="shared" si="17"/>
        <v>U1300 R6.4 - NIC5 - Broadcast - Load contactor disconnect via broadcast (immediate, randomisation)</v>
      </c>
    </row>
    <row r="331" spans="1:16" ht="26.25" hidden="1" thickBot="1" x14ac:dyDescent="0.3">
      <c r="A331" s="52">
        <v>1798</v>
      </c>
      <c r="B331" s="53" t="s">
        <v>58</v>
      </c>
      <c r="C331" s="54" t="s">
        <v>240</v>
      </c>
      <c r="D331" s="53" t="s">
        <v>161</v>
      </c>
      <c r="E331" s="54" t="s">
        <v>167</v>
      </c>
      <c r="F331" s="53" t="s">
        <v>68</v>
      </c>
      <c r="G331" s="55"/>
      <c r="H331" s="56">
        <v>45565</v>
      </c>
      <c r="I331" s="57">
        <v>0.44593750000000004</v>
      </c>
      <c r="J331" s="53" t="s">
        <v>69</v>
      </c>
      <c r="K331" s="54" t="s">
        <v>69</v>
      </c>
      <c r="L331" s="53" t="s">
        <v>242</v>
      </c>
      <c r="M331" s="58" t="s">
        <v>64</v>
      </c>
      <c r="N331" t="str">
        <f t="shared" si="16"/>
        <v>Executed</v>
      </c>
      <c r="O331" t="str">
        <f t="shared" si="18"/>
        <v>Done</v>
      </c>
      <c r="P331" t="str">
        <f t="shared" si="17"/>
        <v>U1300 R6.4 - NIC5 - Broadcast - Load contactor disconnect via broadcast (scheduled, no randomisation)</v>
      </c>
    </row>
    <row r="332" spans="1:16" ht="15.75" hidden="1" thickBot="1" x14ac:dyDescent="0.3">
      <c r="A332" s="52">
        <v>129</v>
      </c>
      <c r="B332" s="53" t="s">
        <v>58</v>
      </c>
      <c r="C332" s="54" t="s">
        <v>240</v>
      </c>
      <c r="D332" s="53" t="s">
        <v>161</v>
      </c>
      <c r="E332" s="54" t="s">
        <v>168</v>
      </c>
      <c r="F332" s="53" t="s">
        <v>68</v>
      </c>
      <c r="G332" s="55"/>
      <c r="H332" s="56">
        <v>45555</v>
      </c>
      <c r="I332" s="57">
        <v>0.69262731481481488</v>
      </c>
      <c r="J332" s="53" t="s">
        <v>69</v>
      </c>
      <c r="K332" s="54" t="s">
        <v>69</v>
      </c>
      <c r="L332" s="53" t="s">
        <v>242</v>
      </c>
      <c r="M332" s="58" t="s">
        <v>64</v>
      </c>
      <c r="N332" t="str">
        <f t="shared" si="16"/>
        <v>Executed</v>
      </c>
      <c r="O332" t="str">
        <f t="shared" si="18"/>
        <v>Done</v>
      </c>
      <c r="P332" t="str">
        <f t="shared" si="17"/>
        <v>U1300 R6.4 - NIC5 - Broadcast 01 - Broadcast Groups - UIQ to meter</v>
      </c>
    </row>
    <row r="333" spans="1:16" ht="15.75" hidden="1" thickBot="1" x14ac:dyDescent="0.3">
      <c r="A333" s="52">
        <v>130</v>
      </c>
      <c r="B333" s="53" t="s">
        <v>58</v>
      </c>
      <c r="C333" s="54" t="s">
        <v>240</v>
      </c>
      <c r="D333" s="53" t="s">
        <v>161</v>
      </c>
      <c r="E333" s="54" t="s">
        <v>169</v>
      </c>
      <c r="F333" s="53" t="s">
        <v>68</v>
      </c>
      <c r="G333" s="55"/>
      <c r="H333" s="56">
        <v>45561</v>
      </c>
      <c r="I333" s="57">
        <v>0.46011574074074074</v>
      </c>
      <c r="J333" s="53" t="s">
        <v>69</v>
      </c>
      <c r="K333" s="54" t="s">
        <v>69</v>
      </c>
      <c r="L333" s="53" t="s">
        <v>242</v>
      </c>
      <c r="M333" s="58" t="s">
        <v>64</v>
      </c>
      <c r="N333" t="str">
        <f t="shared" si="16"/>
        <v>Executed</v>
      </c>
      <c r="O333" t="str">
        <f t="shared" si="18"/>
        <v>Done</v>
      </c>
      <c r="P333" t="str">
        <f t="shared" si="17"/>
        <v>U1300 R6.4 - NIC5 - Broadcast 02 - Broadcast Groups - meter to UIQ</v>
      </c>
    </row>
    <row r="334" spans="1:16" ht="15.75" hidden="1" thickBot="1" x14ac:dyDescent="0.3">
      <c r="A334" s="52">
        <v>137</v>
      </c>
      <c r="B334" s="53" t="s">
        <v>58</v>
      </c>
      <c r="C334" s="54" t="s">
        <v>240</v>
      </c>
      <c r="D334" s="53" t="s">
        <v>161</v>
      </c>
      <c r="E334" s="54" t="s">
        <v>170</v>
      </c>
      <c r="F334" s="53" t="s">
        <v>68</v>
      </c>
      <c r="G334" s="55"/>
      <c r="H334" s="56">
        <v>45565</v>
      </c>
      <c r="I334" s="57">
        <v>0.5020486111111111</v>
      </c>
      <c r="J334" s="53" t="s">
        <v>69</v>
      </c>
      <c r="K334" s="54" t="s">
        <v>69</v>
      </c>
      <c r="L334" s="53" t="s">
        <v>242</v>
      </c>
      <c r="M334" s="58" t="s">
        <v>64</v>
      </c>
      <c r="N334" t="str">
        <f t="shared" si="16"/>
        <v>Executed</v>
      </c>
      <c r="O334" t="str">
        <f t="shared" si="18"/>
        <v>Done</v>
      </c>
      <c r="P334" t="str">
        <f t="shared" si="17"/>
        <v>U1300 R6.4 - NIC5 - Broadcast 08 - ESCC opeation via broadcast</v>
      </c>
    </row>
    <row r="335" spans="1:16" ht="15.75" hidden="1" thickBot="1" x14ac:dyDescent="0.3">
      <c r="A335" s="52">
        <v>136</v>
      </c>
      <c r="B335" s="53" t="s">
        <v>58</v>
      </c>
      <c r="C335" s="54" t="s">
        <v>240</v>
      </c>
      <c r="D335" s="53" t="s">
        <v>161</v>
      </c>
      <c r="E335" s="54" t="s">
        <v>171</v>
      </c>
      <c r="F335" s="53" t="s">
        <v>68</v>
      </c>
      <c r="G335" s="55"/>
      <c r="H335" s="56">
        <v>45565</v>
      </c>
      <c r="I335" s="57">
        <v>0.71703703703703703</v>
      </c>
      <c r="J335" s="53" t="s">
        <v>69</v>
      </c>
      <c r="K335" s="54" t="s">
        <v>69</v>
      </c>
      <c r="L335" s="53" t="s">
        <v>242</v>
      </c>
      <c r="M335" s="58" t="s">
        <v>64</v>
      </c>
      <c r="N335" t="str">
        <f t="shared" si="16"/>
        <v>Executed</v>
      </c>
      <c r="O335" t="str">
        <f t="shared" si="18"/>
        <v>Done</v>
      </c>
      <c r="P335" t="str">
        <f t="shared" si="17"/>
        <v>U1300 R6.4 - NIC5 - Broadcast 09 - Load contactor opeation via broadcast</v>
      </c>
    </row>
    <row r="336" spans="1:16" ht="15.75" hidden="1" thickBot="1" x14ac:dyDescent="0.3">
      <c r="A336" s="52">
        <v>132</v>
      </c>
      <c r="B336" s="53" t="s">
        <v>58</v>
      </c>
      <c r="C336" s="54" t="s">
        <v>241</v>
      </c>
      <c r="D336" s="53" t="s">
        <v>161</v>
      </c>
      <c r="E336" s="54" t="s">
        <v>172</v>
      </c>
      <c r="F336" s="53" t="s">
        <v>68</v>
      </c>
      <c r="G336" s="55"/>
      <c r="H336" s="56">
        <v>45573</v>
      </c>
      <c r="I336" s="57">
        <v>0.71393518518518517</v>
      </c>
      <c r="J336" s="53" t="s">
        <v>69</v>
      </c>
      <c r="K336" s="54" t="s">
        <v>69</v>
      </c>
      <c r="L336" s="53" t="s">
        <v>242</v>
      </c>
      <c r="M336" s="58" t="s">
        <v>64</v>
      </c>
      <c r="N336" t="str">
        <f t="shared" si="16"/>
        <v>Executed</v>
      </c>
      <c r="O336" t="str">
        <f t="shared" si="18"/>
        <v>Done</v>
      </c>
      <c r="P336" t="str">
        <f t="shared" si="17"/>
        <v>U1300 R6.4 - NIC3 - Broadcast 04 - Confirm the range of broadcast groups</v>
      </c>
    </row>
    <row r="337" spans="1:16" ht="15.75" hidden="1" thickBot="1" x14ac:dyDescent="0.3">
      <c r="A337" s="52">
        <v>132</v>
      </c>
      <c r="B337" s="53" t="s">
        <v>58</v>
      </c>
      <c r="C337" s="54" t="s">
        <v>240</v>
      </c>
      <c r="D337" s="53" t="s">
        <v>161</v>
      </c>
      <c r="E337" s="54" t="s">
        <v>172</v>
      </c>
      <c r="F337" s="53" t="s">
        <v>68</v>
      </c>
      <c r="G337" s="55"/>
      <c r="H337" s="56">
        <v>45573</v>
      </c>
      <c r="I337" s="57">
        <v>0.71381944444444445</v>
      </c>
      <c r="J337" s="53" t="s">
        <v>69</v>
      </c>
      <c r="K337" s="54" t="s">
        <v>69</v>
      </c>
      <c r="L337" s="53" t="s">
        <v>242</v>
      </c>
      <c r="M337" s="58" t="s">
        <v>64</v>
      </c>
      <c r="N337" t="str">
        <f t="shared" si="16"/>
        <v>Executed</v>
      </c>
      <c r="O337" t="str">
        <f t="shared" si="18"/>
        <v>Done</v>
      </c>
      <c r="P337" t="str">
        <f t="shared" si="17"/>
        <v>U1300 R6.4 - NIC5 - Broadcast 04 - Confirm the range of broadcast groups</v>
      </c>
    </row>
    <row r="338" spans="1:16" ht="15.75" hidden="1" thickBot="1" x14ac:dyDescent="0.3">
      <c r="A338" s="52">
        <v>132</v>
      </c>
      <c r="B338" s="53" t="s">
        <v>58</v>
      </c>
      <c r="C338" s="54" t="s">
        <v>239</v>
      </c>
      <c r="D338" s="53" t="s">
        <v>161</v>
      </c>
      <c r="E338" s="54" t="s">
        <v>172</v>
      </c>
      <c r="F338" s="53" t="s">
        <v>68</v>
      </c>
      <c r="G338" s="55"/>
      <c r="H338" s="56">
        <v>45560</v>
      </c>
      <c r="I338" s="57">
        <v>0.57268518518518519</v>
      </c>
      <c r="J338" s="53" t="s">
        <v>69</v>
      </c>
      <c r="K338" s="54" t="s">
        <v>69</v>
      </c>
      <c r="L338" s="53" t="s">
        <v>238</v>
      </c>
      <c r="M338" s="58" t="s">
        <v>63</v>
      </c>
      <c r="N338" t="str">
        <f t="shared" si="16"/>
        <v>Executed</v>
      </c>
      <c r="O338" t="str">
        <f t="shared" si="18"/>
        <v>Done</v>
      </c>
      <c r="P338" t="str">
        <f t="shared" si="17"/>
        <v>U3400 R6.4 - NIC3 - Broadcast 04 - Confirm the range of broadcast groups</v>
      </c>
    </row>
    <row r="339" spans="1:16" ht="15.75" hidden="1" thickBot="1" x14ac:dyDescent="0.3">
      <c r="A339" s="52">
        <v>132</v>
      </c>
      <c r="B339" s="53" t="s">
        <v>58</v>
      </c>
      <c r="C339" s="54" t="s">
        <v>237</v>
      </c>
      <c r="D339" s="53" t="s">
        <v>161</v>
      </c>
      <c r="E339" s="54" t="s">
        <v>172</v>
      </c>
      <c r="F339" s="53" t="s">
        <v>68</v>
      </c>
      <c r="G339" s="55"/>
      <c r="H339" s="56">
        <v>45560</v>
      </c>
      <c r="I339" s="57">
        <v>0.57265046296296296</v>
      </c>
      <c r="J339" s="53" t="s">
        <v>69</v>
      </c>
      <c r="K339" s="54" t="s">
        <v>69</v>
      </c>
      <c r="L339" s="53" t="s">
        <v>238</v>
      </c>
      <c r="M339" s="58" t="s">
        <v>63</v>
      </c>
      <c r="N339" t="str">
        <f t="shared" si="16"/>
        <v>Executed</v>
      </c>
      <c r="O339" t="str">
        <f t="shared" si="18"/>
        <v>Done</v>
      </c>
      <c r="P339" t="str">
        <f t="shared" si="17"/>
        <v>U3400 R6.4 - NIC5 - Broadcast 04 - Confirm the range of broadcast groups</v>
      </c>
    </row>
    <row r="340" spans="1:16" ht="15.75" thickBot="1" x14ac:dyDescent="0.3">
      <c r="A340" s="52">
        <v>133</v>
      </c>
      <c r="B340" s="53" t="s">
        <v>58</v>
      </c>
      <c r="C340" s="54" t="s">
        <v>237</v>
      </c>
      <c r="D340" s="53" t="s">
        <v>161</v>
      </c>
      <c r="E340" s="54" t="s">
        <v>173</v>
      </c>
      <c r="F340" s="53" t="s">
        <v>68</v>
      </c>
      <c r="G340" s="55"/>
      <c r="H340" s="56">
        <v>45559</v>
      </c>
      <c r="I340" s="57">
        <v>0.72038194444444448</v>
      </c>
      <c r="J340" s="53" t="s">
        <v>62</v>
      </c>
      <c r="K340" s="54" t="s">
        <v>62</v>
      </c>
      <c r="L340" s="53" t="s">
        <v>238</v>
      </c>
      <c r="M340" s="58" t="s">
        <v>63</v>
      </c>
      <c r="N340" t="str">
        <f t="shared" si="16"/>
        <v>RBT</v>
      </c>
      <c r="O340" t="str">
        <f t="shared" si="18"/>
        <v>Done</v>
      </c>
      <c r="P340" t="str">
        <f t="shared" si="17"/>
        <v>U3400 R6.4 - NIC5 - Broadcast 05 - Broadcast cert upload via netmgr</v>
      </c>
    </row>
    <row r="341" spans="1:16" ht="15.75" thickBot="1" x14ac:dyDescent="0.3">
      <c r="A341" s="52">
        <v>134</v>
      </c>
      <c r="B341" s="53" t="s">
        <v>58</v>
      </c>
      <c r="C341" s="54" t="s">
        <v>237</v>
      </c>
      <c r="D341" s="53" t="s">
        <v>161</v>
      </c>
      <c r="E341" s="54" t="s">
        <v>174</v>
      </c>
      <c r="F341" s="53" t="s">
        <v>68</v>
      </c>
      <c r="G341" s="55"/>
      <c r="H341" s="56">
        <v>45559</v>
      </c>
      <c r="I341" s="57">
        <v>0.7203587962962964</v>
      </c>
      <c r="J341" s="53" t="s">
        <v>62</v>
      </c>
      <c r="K341" s="54" t="s">
        <v>62</v>
      </c>
      <c r="L341" s="53" t="s">
        <v>238</v>
      </c>
      <c r="M341" s="58" t="s">
        <v>63</v>
      </c>
      <c r="N341" t="str">
        <f t="shared" si="16"/>
        <v>RBT</v>
      </c>
      <c r="O341" t="str">
        <f t="shared" si="18"/>
        <v>Done</v>
      </c>
      <c r="P341" t="str">
        <f t="shared" si="17"/>
        <v>U3400 R6.4 - NIC5 - Broadcast 07 - Broadcast cert upload via Network Centre</v>
      </c>
    </row>
    <row r="342" spans="1:16" ht="15.75" thickBot="1" x14ac:dyDescent="0.3">
      <c r="A342" s="52">
        <v>135</v>
      </c>
      <c r="B342" s="53" t="s">
        <v>58</v>
      </c>
      <c r="C342" s="54" t="s">
        <v>237</v>
      </c>
      <c r="D342" s="53" t="s">
        <v>161</v>
      </c>
      <c r="E342" s="54" t="s">
        <v>175</v>
      </c>
      <c r="F342" s="53" t="s">
        <v>68</v>
      </c>
      <c r="G342" s="55"/>
      <c r="H342" s="56">
        <v>45559</v>
      </c>
      <c r="I342" s="57">
        <v>0.72043981481481489</v>
      </c>
      <c r="J342" s="53" t="s">
        <v>62</v>
      </c>
      <c r="K342" s="54" t="s">
        <v>62</v>
      </c>
      <c r="L342" s="53" t="s">
        <v>238</v>
      </c>
      <c r="M342" s="58" t="s">
        <v>63</v>
      </c>
      <c r="N342" t="str">
        <f t="shared" si="16"/>
        <v>RBT</v>
      </c>
      <c r="O342" t="str">
        <f t="shared" si="18"/>
        <v>Done</v>
      </c>
      <c r="P342" t="str">
        <f t="shared" si="17"/>
        <v>U3400 R6.4 - NIC5 - Broadcast 06 - Broadcast cert upload via FSU</v>
      </c>
    </row>
    <row r="343" spans="1:16" ht="15.75" thickBot="1" x14ac:dyDescent="0.3">
      <c r="A343" s="52">
        <v>133</v>
      </c>
      <c r="B343" s="53" t="s">
        <v>58</v>
      </c>
      <c r="C343" s="54" t="s">
        <v>239</v>
      </c>
      <c r="D343" s="53" t="s">
        <v>161</v>
      </c>
      <c r="E343" s="54" t="s">
        <v>173</v>
      </c>
      <c r="F343" s="53" t="s">
        <v>68</v>
      </c>
      <c r="G343" s="55"/>
      <c r="H343" s="56">
        <v>45559</v>
      </c>
      <c r="I343" s="57">
        <v>0.71965277777777781</v>
      </c>
      <c r="J343" s="53" t="s">
        <v>62</v>
      </c>
      <c r="K343" s="54" t="s">
        <v>62</v>
      </c>
      <c r="L343" s="53" t="s">
        <v>238</v>
      </c>
      <c r="M343" s="58" t="s">
        <v>63</v>
      </c>
      <c r="N343" t="str">
        <f t="shared" si="16"/>
        <v>RBT</v>
      </c>
      <c r="O343" t="str">
        <f t="shared" si="18"/>
        <v>Done</v>
      </c>
      <c r="P343" t="str">
        <f t="shared" si="17"/>
        <v>U3400 R6.4 - NIC3 - Broadcast 05 - Broadcast cert upload via netmgr</v>
      </c>
    </row>
    <row r="344" spans="1:16" ht="15.75" thickBot="1" x14ac:dyDescent="0.3">
      <c r="A344" s="52">
        <v>134</v>
      </c>
      <c r="B344" s="53" t="s">
        <v>58</v>
      </c>
      <c r="C344" s="54" t="s">
        <v>239</v>
      </c>
      <c r="D344" s="53" t="s">
        <v>161</v>
      </c>
      <c r="E344" s="54" t="s">
        <v>174</v>
      </c>
      <c r="F344" s="53" t="s">
        <v>68</v>
      </c>
      <c r="G344" s="55"/>
      <c r="H344" s="56">
        <v>45559</v>
      </c>
      <c r="I344" s="57">
        <v>0.71936342592592595</v>
      </c>
      <c r="J344" s="53" t="s">
        <v>62</v>
      </c>
      <c r="K344" s="54" t="s">
        <v>62</v>
      </c>
      <c r="L344" s="53" t="s">
        <v>238</v>
      </c>
      <c r="M344" s="58" t="s">
        <v>63</v>
      </c>
      <c r="N344" t="str">
        <f t="shared" si="16"/>
        <v>RBT</v>
      </c>
      <c r="O344" t="str">
        <f t="shared" si="18"/>
        <v>Done</v>
      </c>
      <c r="P344" t="str">
        <f t="shared" si="17"/>
        <v>U3400 R6.4 - NIC3 - Broadcast 07 - Broadcast cert upload via Network Centre</v>
      </c>
    </row>
    <row r="345" spans="1:16" ht="15.75" thickBot="1" x14ac:dyDescent="0.3">
      <c r="A345" s="52">
        <v>135</v>
      </c>
      <c r="B345" s="53" t="s">
        <v>58</v>
      </c>
      <c r="C345" s="54" t="s">
        <v>239</v>
      </c>
      <c r="D345" s="53" t="s">
        <v>161</v>
      </c>
      <c r="E345" s="54" t="s">
        <v>175</v>
      </c>
      <c r="F345" s="53" t="s">
        <v>68</v>
      </c>
      <c r="G345" s="55"/>
      <c r="H345" s="56">
        <v>45559</v>
      </c>
      <c r="I345" s="57">
        <v>0.71934027777777787</v>
      </c>
      <c r="J345" s="53" t="s">
        <v>62</v>
      </c>
      <c r="K345" s="54" t="s">
        <v>62</v>
      </c>
      <c r="L345" s="53" t="s">
        <v>238</v>
      </c>
      <c r="M345" s="58" t="s">
        <v>63</v>
      </c>
      <c r="N345" t="str">
        <f t="shared" si="16"/>
        <v>RBT</v>
      </c>
      <c r="O345" t="str">
        <f t="shared" si="18"/>
        <v>Done</v>
      </c>
      <c r="P345" t="str">
        <f t="shared" si="17"/>
        <v>U3400 R6.4 - NIC3 - Broadcast 06 - Broadcast cert upload via FSU</v>
      </c>
    </row>
    <row r="346" spans="1:16" ht="15.75" thickBot="1" x14ac:dyDescent="0.3">
      <c r="A346" s="52">
        <v>133</v>
      </c>
      <c r="B346" s="53" t="s">
        <v>58</v>
      </c>
      <c r="C346" s="54" t="s">
        <v>240</v>
      </c>
      <c r="D346" s="53" t="s">
        <v>161</v>
      </c>
      <c r="E346" s="54" t="s">
        <v>173</v>
      </c>
      <c r="F346" s="53" t="s">
        <v>68</v>
      </c>
      <c r="G346" s="55"/>
      <c r="H346" s="56">
        <v>45559</v>
      </c>
      <c r="I346" s="57">
        <v>0.71898148148148155</v>
      </c>
      <c r="J346" s="53" t="s">
        <v>62</v>
      </c>
      <c r="K346" s="54" t="s">
        <v>62</v>
      </c>
      <c r="L346" s="53" t="s">
        <v>238</v>
      </c>
      <c r="M346" s="58" t="s">
        <v>64</v>
      </c>
      <c r="N346" t="str">
        <f t="shared" si="16"/>
        <v>RBT</v>
      </c>
      <c r="O346" t="str">
        <f t="shared" si="18"/>
        <v>Done</v>
      </c>
      <c r="P346" t="str">
        <f t="shared" si="17"/>
        <v>U1300 R6.4 - NIC5 - Broadcast 05 - Broadcast cert upload via netmgr</v>
      </c>
    </row>
    <row r="347" spans="1:16" ht="15.75" thickBot="1" x14ac:dyDescent="0.3">
      <c r="A347" s="52">
        <v>134</v>
      </c>
      <c r="B347" s="53" t="s">
        <v>58</v>
      </c>
      <c r="C347" s="54" t="s">
        <v>240</v>
      </c>
      <c r="D347" s="53" t="s">
        <v>161</v>
      </c>
      <c r="E347" s="54" t="s">
        <v>174</v>
      </c>
      <c r="F347" s="53" t="s">
        <v>68</v>
      </c>
      <c r="G347" s="55"/>
      <c r="H347" s="56">
        <v>45559</v>
      </c>
      <c r="I347" s="57">
        <v>0.71901620370370367</v>
      </c>
      <c r="J347" s="53" t="s">
        <v>62</v>
      </c>
      <c r="K347" s="54" t="s">
        <v>62</v>
      </c>
      <c r="L347" s="53" t="s">
        <v>238</v>
      </c>
      <c r="M347" s="58" t="s">
        <v>64</v>
      </c>
      <c r="N347" t="str">
        <f t="shared" si="16"/>
        <v>RBT</v>
      </c>
      <c r="O347" t="str">
        <f t="shared" si="18"/>
        <v>Done</v>
      </c>
      <c r="P347" t="str">
        <f t="shared" si="17"/>
        <v>U1300 R6.4 - NIC5 - Broadcast 07 - Broadcast cert upload via Network Centre</v>
      </c>
    </row>
    <row r="348" spans="1:16" ht="15.75" thickBot="1" x14ac:dyDescent="0.3">
      <c r="A348" s="52">
        <v>135</v>
      </c>
      <c r="B348" s="53" t="s">
        <v>58</v>
      </c>
      <c r="C348" s="54" t="s">
        <v>240</v>
      </c>
      <c r="D348" s="53" t="s">
        <v>161</v>
      </c>
      <c r="E348" s="54" t="s">
        <v>175</v>
      </c>
      <c r="F348" s="53" t="s">
        <v>68</v>
      </c>
      <c r="G348" s="55"/>
      <c r="H348" s="56">
        <v>45559</v>
      </c>
      <c r="I348" s="57">
        <v>0.71908564814814813</v>
      </c>
      <c r="J348" s="53" t="s">
        <v>62</v>
      </c>
      <c r="K348" s="54" t="s">
        <v>62</v>
      </c>
      <c r="L348" s="53" t="s">
        <v>238</v>
      </c>
      <c r="M348" s="58" t="s">
        <v>64</v>
      </c>
      <c r="N348" t="str">
        <f t="shared" si="16"/>
        <v>RBT</v>
      </c>
      <c r="O348" t="str">
        <f t="shared" si="18"/>
        <v>Done</v>
      </c>
      <c r="P348" t="str">
        <f t="shared" si="17"/>
        <v>U1300 R6.4 - NIC5 - Broadcast 06 - Broadcast cert upload via FSU</v>
      </c>
    </row>
    <row r="349" spans="1:16" ht="15.75" thickBot="1" x14ac:dyDescent="0.3">
      <c r="A349" s="52">
        <v>133</v>
      </c>
      <c r="B349" s="53" t="s">
        <v>58</v>
      </c>
      <c r="C349" s="54" t="s">
        <v>241</v>
      </c>
      <c r="D349" s="53" t="s">
        <v>161</v>
      </c>
      <c r="E349" s="54" t="s">
        <v>173</v>
      </c>
      <c r="F349" s="53" t="s">
        <v>68</v>
      </c>
      <c r="G349" s="55"/>
      <c r="H349" s="56">
        <v>45559</v>
      </c>
      <c r="I349" s="57">
        <v>0.71767361111111105</v>
      </c>
      <c r="J349" s="53" t="s">
        <v>62</v>
      </c>
      <c r="K349" s="54" t="s">
        <v>62</v>
      </c>
      <c r="L349" s="53" t="s">
        <v>238</v>
      </c>
      <c r="M349" s="58" t="s">
        <v>64</v>
      </c>
      <c r="N349" t="str">
        <f t="shared" si="16"/>
        <v>RBT</v>
      </c>
      <c r="O349" t="str">
        <f t="shared" si="18"/>
        <v>Done</v>
      </c>
      <c r="P349" t="str">
        <f t="shared" si="17"/>
        <v>U1300 R6.4 - NIC3 - Broadcast 05 - Broadcast cert upload via netmgr</v>
      </c>
    </row>
    <row r="350" spans="1:16" ht="15.75" thickBot="1" x14ac:dyDescent="0.3">
      <c r="A350" s="52">
        <v>134</v>
      </c>
      <c r="B350" s="53" t="s">
        <v>58</v>
      </c>
      <c r="C350" s="54" t="s">
        <v>241</v>
      </c>
      <c r="D350" s="53" t="s">
        <v>161</v>
      </c>
      <c r="E350" s="54" t="s">
        <v>174</v>
      </c>
      <c r="F350" s="53" t="s">
        <v>68</v>
      </c>
      <c r="G350" s="55"/>
      <c r="H350" s="56">
        <v>45559</v>
      </c>
      <c r="I350" s="57">
        <v>0.71780092592592604</v>
      </c>
      <c r="J350" s="53" t="s">
        <v>62</v>
      </c>
      <c r="K350" s="54" t="s">
        <v>62</v>
      </c>
      <c r="L350" s="53" t="s">
        <v>238</v>
      </c>
      <c r="M350" s="58" t="s">
        <v>64</v>
      </c>
      <c r="N350" t="str">
        <f t="shared" si="16"/>
        <v>RBT</v>
      </c>
      <c r="O350" t="str">
        <f t="shared" si="18"/>
        <v>Done</v>
      </c>
      <c r="P350" t="str">
        <f t="shared" si="17"/>
        <v>U1300 R6.4 - NIC3 - Broadcast 07 - Broadcast cert upload via Network Centre</v>
      </c>
    </row>
    <row r="351" spans="1:16" ht="15.75" thickBot="1" x14ac:dyDescent="0.3">
      <c r="A351" s="52">
        <v>135</v>
      </c>
      <c r="B351" s="53" t="s">
        <v>58</v>
      </c>
      <c r="C351" s="54" t="s">
        <v>241</v>
      </c>
      <c r="D351" s="53" t="s">
        <v>161</v>
      </c>
      <c r="E351" s="54" t="s">
        <v>175</v>
      </c>
      <c r="F351" s="53" t="s">
        <v>68</v>
      </c>
      <c r="G351" s="55"/>
      <c r="H351" s="56">
        <v>45559</v>
      </c>
      <c r="I351" s="57">
        <v>0.7177662037037037</v>
      </c>
      <c r="J351" s="53" t="s">
        <v>62</v>
      </c>
      <c r="K351" s="54" t="s">
        <v>62</v>
      </c>
      <c r="L351" s="53" t="s">
        <v>238</v>
      </c>
      <c r="M351" s="58" t="s">
        <v>64</v>
      </c>
      <c r="N351" t="str">
        <f t="shared" si="16"/>
        <v>RBT</v>
      </c>
      <c r="O351" t="str">
        <f t="shared" si="18"/>
        <v>Done</v>
      </c>
      <c r="P351" t="str">
        <f t="shared" si="17"/>
        <v>U1300 R6.4 - NIC3 - Broadcast 06 - Broadcast cert upload via FSU</v>
      </c>
    </row>
    <row r="352" spans="1:16" ht="15.75" thickBot="1" x14ac:dyDescent="0.3">
      <c r="A352" s="52">
        <v>1802</v>
      </c>
      <c r="B352" s="53" t="s">
        <v>58</v>
      </c>
      <c r="C352" s="54" t="s">
        <v>237</v>
      </c>
      <c r="D352" s="53" t="s">
        <v>176</v>
      </c>
      <c r="E352" s="54" t="s">
        <v>177</v>
      </c>
      <c r="F352" s="53" t="s">
        <v>91</v>
      </c>
      <c r="G352" s="55"/>
      <c r="H352" s="56">
        <v>45579</v>
      </c>
      <c r="I352" s="57">
        <v>0.62908564814814816</v>
      </c>
      <c r="J352" s="53" t="s">
        <v>62</v>
      </c>
      <c r="K352" s="54" t="s">
        <v>69</v>
      </c>
      <c r="L352" s="53" t="s">
        <v>238</v>
      </c>
      <c r="M352" s="58" t="s">
        <v>63</v>
      </c>
      <c r="N352" t="str">
        <f t="shared" si="16"/>
        <v>Executed</v>
      </c>
      <c r="O352" t="str">
        <f t="shared" si="18"/>
        <v>Done</v>
      </c>
      <c r="P352" t="str">
        <f t="shared" si="17"/>
        <v>U3400 R6.4 - NIC5 - HCM -  Send message to IHD</v>
      </c>
    </row>
    <row r="353" spans="1:16" ht="15.75" thickBot="1" x14ac:dyDescent="0.3">
      <c r="A353" s="52">
        <v>1802</v>
      </c>
      <c r="B353" s="53" t="s">
        <v>58</v>
      </c>
      <c r="C353" s="54" t="s">
        <v>239</v>
      </c>
      <c r="D353" s="53" t="s">
        <v>176</v>
      </c>
      <c r="E353" s="54" t="s">
        <v>177</v>
      </c>
      <c r="F353" s="53" t="s">
        <v>91</v>
      </c>
      <c r="G353" s="55"/>
      <c r="H353" s="56">
        <v>45579</v>
      </c>
      <c r="I353" s="57">
        <v>0.62995370370370374</v>
      </c>
      <c r="J353" s="53" t="s">
        <v>62</v>
      </c>
      <c r="K353" s="54" t="s">
        <v>143</v>
      </c>
      <c r="L353" s="53" t="s">
        <v>238</v>
      </c>
      <c r="M353" s="58" t="s">
        <v>63</v>
      </c>
      <c r="N353" t="str">
        <f t="shared" si="16"/>
        <v>No Run</v>
      </c>
      <c r="O353" t="str">
        <f t="shared" si="18"/>
        <v>Blocked</v>
      </c>
      <c r="P353" t="str">
        <f t="shared" si="17"/>
        <v>U3400 R6.4 - NIC3 - HCM -  Send message to IHD</v>
      </c>
    </row>
    <row r="354" spans="1:16" ht="29.25" thickBot="1" x14ac:dyDescent="0.3">
      <c r="A354" s="52">
        <v>1802</v>
      </c>
      <c r="B354" s="53" t="s">
        <v>58</v>
      </c>
      <c r="C354" s="54" t="s">
        <v>240</v>
      </c>
      <c r="D354" s="53" t="s">
        <v>176</v>
      </c>
      <c r="E354" s="54" t="s">
        <v>177</v>
      </c>
      <c r="F354" s="53" t="s">
        <v>91</v>
      </c>
      <c r="G354" s="55" t="s">
        <v>144</v>
      </c>
      <c r="H354" s="56">
        <v>45580</v>
      </c>
      <c r="I354" s="57">
        <v>0.60629629629629633</v>
      </c>
      <c r="J354" s="53" t="s">
        <v>62</v>
      </c>
      <c r="K354" s="54" t="s">
        <v>62</v>
      </c>
      <c r="L354" s="53" t="s">
        <v>242</v>
      </c>
      <c r="M354" s="58" t="s">
        <v>64</v>
      </c>
      <c r="N354" t="str">
        <f t="shared" si="16"/>
        <v>RBT</v>
      </c>
      <c r="O354" t="str">
        <f t="shared" si="18"/>
        <v>Done</v>
      </c>
      <c r="P354" t="str">
        <f t="shared" si="17"/>
        <v>U1300 R6.4 - NIC5 - HCM -  Send message to IHD</v>
      </c>
    </row>
    <row r="355" spans="1:16" ht="15.75" thickBot="1" x14ac:dyDescent="0.3">
      <c r="A355" s="52">
        <v>1802</v>
      </c>
      <c r="B355" s="53" t="s">
        <v>58</v>
      </c>
      <c r="C355" s="54" t="s">
        <v>241</v>
      </c>
      <c r="D355" s="53" t="s">
        <v>176</v>
      </c>
      <c r="E355" s="54" t="s">
        <v>177</v>
      </c>
      <c r="F355" s="53" t="s">
        <v>91</v>
      </c>
      <c r="G355" s="55"/>
      <c r="H355" s="56">
        <v>45580</v>
      </c>
      <c r="I355" s="57">
        <v>0.57393518518518516</v>
      </c>
      <c r="J355" s="53" t="s">
        <v>62</v>
      </c>
      <c r="K355" s="54" t="s">
        <v>69</v>
      </c>
      <c r="L355" s="53" t="s">
        <v>242</v>
      </c>
      <c r="M355" s="58" t="s">
        <v>64</v>
      </c>
      <c r="N355" t="str">
        <f t="shared" si="16"/>
        <v>Executed</v>
      </c>
      <c r="O355" t="str">
        <f t="shared" si="18"/>
        <v>Done</v>
      </c>
      <c r="P355" t="str">
        <f t="shared" si="17"/>
        <v>U1300 R6.4 - NIC3 - HCM -  Send message to IHD</v>
      </c>
    </row>
    <row r="356" spans="1:16" ht="15.75" thickBot="1" x14ac:dyDescent="0.3">
      <c r="A356" s="52">
        <v>1722</v>
      </c>
      <c r="B356" s="53" t="s">
        <v>58</v>
      </c>
      <c r="C356" s="54" t="s">
        <v>237</v>
      </c>
      <c r="D356" s="53" t="s">
        <v>178</v>
      </c>
      <c r="E356" s="54" t="s">
        <v>179</v>
      </c>
      <c r="F356" s="53" t="s">
        <v>61</v>
      </c>
      <c r="G356" s="55"/>
      <c r="H356" s="56">
        <v>45559</v>
      </c>
      <c r="I356" s="57">
        <v>0.72052083333333339</v>
      </c>
      <c r="J356" s="53" t="s">
        <v>62</v>
      </c>
      <c r="K356" s="54" t="s">
        <v>62</v>
      </c>
      <c r="L356" s="53" t="s">
        <v>238</v>
      </c>
      <c r="M356" s="58" t="s">
        <v>63</v>
      </c>
      <c r="N356" t="str">
        <f t="shared" si="16"/>
        <v>RBT</v>
      </c>
      <c r="O356" t="str">
        <f t="shared" si="18"/>
        <v>Done</v>
      </c>
      <c r="P356" t="str">
        <f t="shared" si="17"/>
        <v>U3400 R6.4 - NIC5 - 02 L&amp;G  PQ Configuration - Remote Enable-Disable</v>
      </c>
    </row>
    <row r="357" spans="1:16" ht="15.75" thickBot="1" x14ac:dyDescent="0.3">
      <c r="A357" s="52">
        <v>1722</v>
      </c>
      <c r="B357" s="53" t="s">
        <v>58</v>
      </c>
      <c r="C357" s="54" t="s">
        <v>239</v>
      </c>
      <c r="D357" s="53" t="s">
        <v>178</v>
      </c>
      <c r="E357" s="54" t="s">
        <v>179</v>
      </c>
      <c r="F357" s="53" t="s">
        <v>61</v>
      </c>
      <c r="G357" s="55"/>
      <c r="H357" s="56">
        <v>45559</v>
      </c>
      <c r="I357" s="57">
        <v>0.71930555555555553</v>
      </c>
      <c r="J357" s="53" t="s">
        <v>62</v>
      </c>
      <c r="K357" s="54" t="s">
        <v>62</v>
      </c>
      <c r="L357" s="53" t="s">
        <v>238</v>
      </c>
      <c r="M357" s="58" t="s">
        <v>63</v>
      </c>
      <c r="N357" t="str">
        <f t="shared" si="16"/>
        <v>RBT</v>
      </c>
      <c r="O357" t="str">
        <f t="shared" si="18"/>
        <v>Done</v>
      </c>
      <c r="P357" t="str">
        <f t="shared" si="17"/>
        <v>U3400 R6.4 - NIC3 - 02 L&amp;G  PQ Configuration - Remote Enable-Disable</v>
      </c>
    </row>
    <row r="358" spans="1:16" ht="15.75" thickBot="1" x14ac:dyDescent="0.3">
      <c r="A358" s="52">
        <v>1722</v>
      </c>
      <c r="B358" s="53" t="s">
        <v>58</v>
      </c>
      <c r="C358" s="54" t="s">
        <v>240</v>
      </c>
      <c r="D358" s="53" t="s">
        <v>178</v>
      </c>
      <c r="E358" s="54" t="s">
        <v>179</v>
      </c>
      <c r="F358" s="53" t="s">
        <v>61</v>
      </c>
      <c r="G358" s="55"/>
      <c r="H358" s="56">
        <v>45559</v>
      </c>
      <c r="I358" s="57">
        <v>0.71894675925925933</v>
      </c>
      <c r="J358" s="53" t="s">
        <v>62</v>
      </c>
      <c r="K358" s="54" t="s">
        <v>62</v>
      </c>
      <c r="L358" s="53" t="s">
        <v>238</v>
      </c>
      <c r="M358" s="58" t="s">
        <v>64</v>
      </c>
      <c r="N358" t="str">
        <f t="shared" si="16"/>
        <v>RBT</v>
      </c>
      <c r="O358" t="str">
        <f t="shared" si="18"/>
        <v>Done</v>
      </c>
      <c r="P358" t="str">
        <f t="shared" si="17"/>
        <v>U1300 R6.4 - NIC5 - 02 L&amp;G  PQ Configuration - Remote Enable-Disable</v>
      </c>
    </row>
    <row r="359" spans="1:16" ht="15.75" thickBot="1" x14ac:dyDescent="0.3">
      <c r="A359" s="52">
        <v>1722</v>
      </c>
      <c r="B359" s="53" t="s">
        <v>58</v>
      </c>
      <c r="C359" s="54" t="s">
        <v>241</v>
      </c>
      <c r="D359" s="53" t="s">
        <v>178</v>
      </c>
      <c r="E359" s="54" t="s">
        <v>179</v>
      </c>
      <c r="F359" s="53" t="s">
        <v>61</v>
      </c>
      <c r="G359" s="55"/>
      <c r="H359" s="56">
        <v>45559</v>
      </c>
      <c r="I359" s="57">
        <v>0.71689814814814812</v>
      </c>
      <c r="J359" s="53" t="s">
        <v>62</v>
      </c>
      <c r="K359" s="54" t="s">
        <v>62</v>
      </c>
      <c r="L359" s="53" t="s">
        <v>238</v>
      </c>
      <c r="M359" s="58" t="s">
        <v>64</v>
      </c>
      <c r="N359" t="str">
        <f t="shared" si="16"/>
        <v>RBT</v>
      </c>
      <c r="O359" t="str">
        <f t="shared" si="18"/>
        <v>Done</v>
      </c>
      <c r="P359" t="str">
        <f t="shared" si="17"/>
        <v>U1300 R6.4 - NIC3 - 02 L&amp;G  PQ Configuration - Remote Enable-Disable</v>
      </c>
    </row>
    <row r="360" spans="1:16" ht="15.75" thickBot="1" x14ac:dyDescent="0.3">
      <c r="A360" s="52">
        <v>1723</v>
      </c>
      <c r="B360" s="53" t="s">
        <v>58</v>
      </c>
      <c r="C360" s="54" t="s">
        <v>241</v>
      </c>
      <c r="D360" s="53" t="s">
        <v>178</v>
      </c>
      <c r="E360" s="54" t="s">
        <v>180</v>
      </c>
      <c r="F360" s="53" t="s">
        <v>61</v>
      </c>
      <c r="G360" s="55"/>
      <c r="H360" s="56">
        <v>45559</v>
      </c>
      <c r="I360" s="57">
        <v>0.71699074074074076</v>
      </c>
      <c r="J360" s="53" t="s">
        <v>62</v>
      </c>
      <c r="K360" s="54" t="s">
        <v>62</v>
      </c>
      <c r="L360" s="53" t="s">
        <v>238</v>
      </c>
      <c r="M360" s="58" t="s">
        <v>64</v>
      </c>
      <c r="N360" t="str">
        <f t="shared" si="16"/>
        <v>RBT</v>
      </c>
      <c r="O360" t="str">
        <f t="shared" si="18"/>
        <v>Done</v>
      </c>
      <c r="P360" t="str">
        <f t="shared" si="17"/>
        <v>U1300 R6.4 - NIC3 - 03 L&amp;G PQ Polling - Data Integrity</v>
      </c>
    </row>
    <row r="361" spans="1:16" ht="15.75" thickBot="1" x14ac:dyDescent="0.3">
      <c r="A361" s="52">
        <v>1723</v>
      </c>
      <c r="B361" s="53" t="s">
        <v>58</v>
      </c>
      <c r="C361" s="54" t="s">
        <v>240</v>
      </c>
      <c r="D361" s="53" t="s">
        <v>178</v>
      </c>
      <c r="E361" s="54" t="s">
        <v>180</v>
      </c>
      <c r="F361" s="53" t="s">
        <v>61</v>
      </c>
      <c r="G361" s="55"/>
      <c r="H361" s="56">
        <v>45559</v>
      </c>
      <c r="I361" s="57">
        <v>0.7189699074074074</v>
      </c>
      <c r="J361" s="53" t="s">
        <v>62</v>
      </c>
      <c r="K361" s="54" t="s">
        <v>62</v>
      </c>
      <c r="L361" s="53" t="s">
        <v>238</v>
      </c>
      <c r="M361" s="58" t="s">
        <v>64</v>
      </c>
      <c r="N361" t="str">
        <f t="shared" si="16"/>
        <v>RBT</v>
      </c>
      <c r="O361" t="str">
        <f t="shared" si="18"/>
        <v>Done</v>
      </c>
      <c r="P361" t="str">
        <f t="shared" si="17"/>
        <v>U1300 R6.4 - NIC5 - 03 L&amp;G PQ Polling - Data Integrity</v>
      </c>
    </row>
    <row r="362" spans="1:16" ht="15.75" thickBot="1" x14ac:dyDescent="0.3">
      <c r="A362" s="52">
        <v>1723</v>
      </c>
      <c r="B362" s="53" t="s">
        <v>58</v>
      </c>
      <c r="C362" s="54" t="s">
        <v>239</v>
      </c>
      <c r="D362" s="53" t="s">
        <v>178</v>
      </c>
      <c r="E362" s="54" t="s">
        <v>180</v>
      </c>
      <c r="F362" s="53" t="s">
        <v>61</v>
      </c>
      <c r="G362" s="55"/>
      <c r="H362" s="56">
        <v>45559</v>
      </c>
      <c r="I362" s="57">
        <v>0.71931712962962957</v>
      </c>
      <c r="J362" s="53" t="s">
        <v>62</v>
      </c>
      <c r="K362" s="54" t="s">
        <v>62</v>
      </c>
      <c r="L362" s="53" t="s">
        <v>238</v>
      </c>
      <c r="M362" s="58" t="s">
        <v>63</v>
      </c>
      <c r="N362" t="str">
        <f t="shared" si="16"/>
        <v>RBT</v>
      </c>
      <c r="O362" t="str">
        <f t="shared" si="18"/>
        <v>Done</v>
      </c>
      <c r="P362" t="str">
        <f t="shared" si="17"/>
        <v>U3400 R6.4 - NIC3 - 03 L&amp;G PQ Polling - Data Integrity</v>
      </c>
    </row>
    <row r="363" spans="1:16" ht="15.75" thickBot="1" x14ac:dyDescent="0.3">
      <c r="A363" s="52">
        <v>1723</v>
      </c>
      <c r="B363" s="53" t="s">
        <v>58</v>
      </c>
      <c r="C363" s="54" t="s">
        <v>237</v>
      </c>
      <c r="D363" s="53" t="s">
        <v>178</v>
      </c>
      <c r="E363" s="54" t="s">
        <v>180</v>
      </c>
      <c r="F363" s="53" t="s">
        <v>61</v>
      </c>
      <c r="G363" s="55"/>
      <c r="H363" s="56">
        <v>45559</v>
      </c>
      <c r="I363" s="57">
        <v>0.72040509259259267</v>
      </c>
      <c r="J363" s="53" t="s">
        <v>62</v>
      </c>
      <c r="K363" s="54" t="s">
        <v>62</v>
      </c>
      <c r="L363" s="53" t="s">
        <v>238</v>
      </c>
      <c r="M363" s="58" t="s">
        <v>63</v>
      </c>
      <c r="N363" t="str">
        <f t="shared" si="16"/>
        <v>RBT</v>
      </c>
      <c r="O363" t="str">
        <f t="shared" si="18"/>
        <v>Done</v>
      </c>
      <c r="P363" t="str">
        <f t="shared" si="17"/>
        <v>U3400 R6.4 - NIC5 - 03 L&amp;G PQ Polling - Data Integrity</v>
      </c>
    </row>
    <row r="364" spans="1:16" x14ac:dyDescent="0.25">
      <c r="A364" s="31"/>
      <c r="G364"/>
      <c r="H364"/>
    </row>
  </sheetData>
  <autoFilter ref="A1:Q363" xr:uid="{676B9E56-C618-4D52-AC37-A91031A07FE1}">
    <filterColumn colId="9">
      <filters>
        <filter val="RBT"/>
      </filters>
    </filterColumn>
  </autoFilter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F2FF-FFD3-4245-AF36-7CAC7C22E32A}">
  <dimension ref="A2:V94"/>
  <sheetViews>
    <sheetView zoomScale="160" zoomScaleNormal="160" workbookViewId="0">
      <pane ySplit="2" topLeftCell="A3" activePane="bottomLeft" state="frozen"/>
      <selection activeCell="M1" sqref="M1"/>
      <selection pane="bottomLeft" activeCell="A28" sqref="A28"/>
    </sheetView>
  </sheetViews>
  <sheetFormatPr defaultRowHeight="15" x14ac:dyDescent="0.25"/>
  <cols>
    <col min="1" max="1" width="13.140625" bestFit="1" customWidth="1"/>
    <col min="2" max="2" width="15.28515625" bestFit="1" customWidth="1"/>
    <col min="3" max="3" width="10" customWidth="1"/>
    <col min="4" max="4" width="9.42578125" bestFit="1" customWidth="1"/>
    <col min="5" max="5" width="5.85546875" bestFit="1" customWidth="1"/>
    <col min="6" max="6" width="10.7109375" bestFit="1" customWidth="1"/>
    <col min="7" max="7" width="20.85546875" bestFit="1" customWidth="1"/>
    <col min="8" max="9" width="5.85546875" bestFit="1" customWidth="1"/>
    <col min="10" max="10" width="7.42578125" bestFit="1" customWidth="1"/>
    <col min="11" max="11" width="23.140625" bestFit="1" customWidth="1"/>
    <col min="12" max="12" width="10.7109375" bestFit="1" customWidth="1"/>
    <col min="13" max="13" width="4.5703125" bestFit="1" customWidth="1"/>
    <col min="14" max="15" width="10.7109375" style="15" bestFit="1" customWidth="1"/>
    <col min="16" max="16" width="73" style="15" bestFit="1" customWidth="1"/>
    <col min="17" max="20" width="15.85546875" bestFit="1" customWidth="1"/>
    <col min="21" max="21" width="10.7109375" bestFit="1" customWidth="1"/>
  </cols>
  <sheetData>
    <row r="2" spans="1:22" x14ac:dyDescent="0.25">
      <c r="A2" s="16" t="s">
        <v>181</v>
      </c>
      <c r="B2" s="16" t="s">
        <v>182</v>
      </c>
      <c r="C2" s="17"/>
      <c r="D2" s="17"/>
      <c r="E2" s="17"/>
      <c r="F2" s="17"/>
      <c r="G2" s="17"/>
      <c r="H2" s="17"/>
      <c r="I2" s="17"/>
      <c r="J2" s="17"/>
      <c r="K2" s="17"/>
      <c r="L2" s="17"/>
      <c r="P2" t="s">
        <v>183</v>
      </c>
    </row>
    <row r="3" spans="1:22" x14ac:dyDescent="0.25">
      <c r="A3" s="17"/>
      <c r="B3" s="17" t="s">
        <v>64</v>
      </c>
      <c r="C3" s="17"/>
      <c r="D3" s="17"/>
      <c r="E3" s="17"/>
      <c r="F3" s="17" t="s">
        <v>184</v>
      </c>
      <c r="G3" s="17" t="s">
        <v>63</v>
      </c>
      <c r="H3" s="17"/>
      <c r="I3" s="17"/>
      <c r="J3" s="17"/>
      <c r="K3" s="17" t="s">
        <v>185</v>
      </c>
      <c r="L3" s="17" t="s">
        <v>186</v>
      </c>
      <c r="P3" s="1" t="s">
        <v>187</v>
      </c>
      <c r="Q3" s="1" t="s">
        <v>188</v>
      </c>
    </row>
    <row r="4" spans="1:22" x14ac:dyDescent="0.25">
      <c r="A4" s="16" t="s">
        <v>189</v>
      </c>
      <c r="B4" s="17" t="s">
        <v>55</v>
      </c>
      <c r="C4" s="17" t="s">
        <v>190</v>
      </c>
      <c r="D4" s="17" t="s">
        <v>191</v>
      </c>
      <c r="E4" s="17" t="s">
        <v>111</v>
      </c>
      <c r="F4" s="17"/>
      <c r="G4" s="17" t="s">
        <v>55</v>
      </c>
      <c r="H4" s="17" t="s">
        <v>191</v>
      </c>
      <c r="I4" s="17" t="s">
        <v>111</v>
      </c>
      <c r="J4" s="17" t="s">
        <v>143</v>
      </c>
      <c r="K4" s="17"/>
      <c r="L4" s="17"/>
      <c r="P4" s="1" t="s">
        <v>192</v>
      </c>
      <c r="Q4" t="s">
        <v>193</v>
      </c>
      <c r="R4" t="s">
        <v>194</v>
      </c>
      <c r="S4" t="s">
        <v>195</v>
      </c>
      <c r="T4" t="s">
        <v>196</v>
      </c>
      <c r="U4" t="s">
        <v>186</v>
      </c>
      <c r="V4" t="s">
        <v>197</v>
      </c>
    </row>
    <row r="5" spans="1:22" x14ac:dyDescent="0.25">
      <c r="A5" s="17" t="s">
        <v>58</v>
      </c>
      <c r="B5" s="17">
        <v>169</v>
      </c>
      <c r="C5" s="17">
        <v>4</v>
      </c>
      <c r="D5" s="17">
        <v>1</v>
      </c>
      <c r="E5" s="17">
        <v>6</v>
      </c>
      <c r="F5" s="17">
        <v>180</v>
      </c>
      <c r="G5" s="17">
        <v>171</v>
      </c>
      <c r="H5" s="17">
        <v>3</v>
      </c>
      <c r="I5" s="17">
        <v>6</v>
      </c>
      <c r="J5" s="17">
        <v>2</v>
      </c>
      <c r="K5" s="17">
        <v>182</v>
      </c>
      <c r="L5" s="17">
        <v>362</v>
      </c>
      <c r="P5" s="3" t="s">
        <v>67</v>
      </c>
      <c r="Q5">
        <v>1</v>
      </c>
      <c r="R5">
        <v>1</v>
      </c>
      <c r="S5">
        <v>1</v>
      </c>
      <c r="T5">
        <v>1</v>
      </c>
      <c r="U5">
        <v>4</v>
      </c>
      <c r="V5" t="s">
        <v>198</v>
      </c>
    </row>
    <row r="6" spans="1:22" x14ac:dyDescent="0.25">
      <c r="A6" s="17" t="s">
        <v>186</v>
      </c>
      <c r="B6" s="17">
        <v>169</v>
      </c>
      <c r="C6" s="17">
        <v>4</v>
      </c>
      <c r="D6" s="17">
        <v>1</v>
      </c>
      <c r="E6" s="17">
        <v>6</v>
      </c>
      <c r="F6" s="17">
        <v>180</v>
      </c>
      <c r="G6" s="17">
        <v>171</v>
      </c>
      <c r="H6" s="17">
        <v>3</v>
      </c>
      <c r="I6" s="17">
        <v>6</v>
      </c>
      <c r="J6" s="17">
        <v>2</v>
      </c>
      <c r="K6" s="17">
        <v>182</v>
      </c>
      <c r="L6" s="17">
        <v>362</v>
      </c>
      <c r="P6" s="3" t="s">
        <v>179</v>
      </c>
      <c r="Q6">
        <v>1</v>
      </c>
      <c r="R6">
        <v>1</v>
      </c>
      <c r="S6">
        <v>1</v>
      </c>
      <c r="T6">
        <v>1</v>
      </c>
      <c r="U6">
        <v>4</v>
      </c>
      <c r="V6" t="s">
        <v>198</v>
      </c>
    </row>
    <row r="7" spans="1:22" x14ac:dyDescent="0.25">
      <c r="P7" s="3" t="s">
        <v>70</v>
      </c>
      <c r="Q7">
        <v>1</v>
      </c>
      <c r="R7">
        <v>1</v>
      </c>
      <c r="S7">
        <v>1</v>
      </c>
      <c r="T7">
        <v>1</v>
      </c>
      <c r="U7">
        <v>4</v>
      </c>
      <c r="V7" t="s">
        <v>198</v>
      </c>
    </row>
    <row r="8" spans="1:22" x14ac:dyDescent="0.25">
      <c r="P8" s="3" t="s">
        <v>180</v>
      </c>
      <c r="Q8">
        <v>1</v>
      </c>
      <c r="R8">
        <v>1</v>
      </c>
      <c r="S8">
        <v>1</v>
      </c>
      <c r="T8">
        <v>1</v>
      </c>
      <c r="U8">
        <v>4</v>
      </c>
      <c r="V8" t="s">
        <v>198</v>
      </c>
    </row>
    <row r="9" spans="1:22" x14ac:dyDescent="0.25">
      <c r="A9" s="15"/>
      <c r="B9" s="15"/>
      <c r="C9" s="15"/>
      <c r="D9" s="15"/>
      <c r="P9" s="3" t="s">
        <v>71</v>
      </c>
      <c r="Q9">
        <v>1</v>
      </c>
      <c r="R9">
        <v>1</v>
      </c>
      <c r="S9">
        <v>1</v>
      </c>
      <c r="T9">
        <v>1</v>
      </c>
      <c r="U9">
        <v>4</v>
      </c>
      <c r="V9" t="s">
        <v>198</v>
      </c>
    </row>
    <row r="10" spans="1:22" x14ac:dyDescent="0.25">
      <c r="A10" s="16" t="s">
        <v>181</v>
      </c>
      <c r="B10" s="16" t="s">
        <v>182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P10" s="3" t="s">
        <v>72</v>
      </c>
      <c r="Q10">
        <v>1</v>
      </c>
      <c r="R10">
        <v>1</v>
      </c>
      <c r="S10">
        <v>1</v>
      </c>
      <c r="T10">
        <v>1</v>
      </c>
      <c r="U10">
        <v>4</v>
      </c>
      <c r="V10" t="s">
        <v>198</v>
      </c>
    </row>
    <row r="11" spans="1:22" x14ac:dyDescent="0.25">
      <c r="A11" s="17"/>
      <c r="B11" s="17" t="s">
        <v>64</v>
      </c>
      <c r="C11" s="17"/>
      <c r="D11" s="17"/>
      <c r="E11" s="17"/>
      <c r="F11" s="17" t="s">
        <v>184</v>
      </c>
      <c r="G11" s="17" t="s">
        <v>63</v>
      </c>
      <c r="H11" s="17"/>
      <c r="I11" s="17"/>
      <c r="J11" s="17"/>
      <c r="K11" s="17" t="s">
        <v>185</v>
      </c>
      <c r="L11" s="17" t="s">
        <v>186</v>
      </c>
      <c r="P11" s="3" t="s">
        <v>73</v>
      </c>
      <c r="Q11">
        <v>1</v>
      </c>
      <c r="R11">
        <v>1</v>
      </c>
      <c r="S11">
        <v>1</v>
      </c>
      <c r="T11">
        <v>1</v>
      </c>
      <c r="U11">
        <v>4</v>
      </c>
      <c r="V11" t="s">
        <v>198</v>
      </c>
    </row>
    <row r="12" spans="1:22" x14ac:dyDescent="0.25">
      <c r="A12" s="16" t="s">
        <v>189</v>
      </c>
      <c r="B12" s="17" t="s">
        <v>55</v>
      </c>
      <c r="C12" s="17" t="s">
        <v>190</v>
      </c>
      <c r="D12" s="17" t="s">
        <v>191</v>
      </c>
      <c r="E12" s="17" t="s">
        <v>111</v>
      </c>
      <c r="F12" s="17"/>
      <c r="G12" s="17" t="s">
        <v>55</v>
      </c>
      <c r="H12" s="17" t="s">
        <v>191</v>
      </c>
      <c r="I12" s="17" t="s">
        <v>111</v>
      </c>
      <c r="J12" s="17" t="s">
        <v>143</v>
      </c>
      <c r="K12" s="17"/>
      <c r="L12" s="17"/>
      <c r="P12" s="3" t="s">
        <v>74</v>
      </c>
      <c r="Q12">
        <v>1</v>
      </c>
      <c r="R12">
        <v>1</v>
      </c>
      <c r="S12">
        <v>1</v>
      </c>
      <c r="T12">
        <v>1</v>
      </c>
      <c r="U12">
        <v>4</v>
      </c>
      <c r="V12" t="s">
        <v>198</v>
      </c>
    </row>
    <row r="13" spans="1:22" x14ac:dyDescent="0.25">
      <c r="A13" s="17" t="s">
        <v>58</v>
      </c>
      <c r="B13" s="18">
        <v>0.46685082872928174</v>
      </c>
      <c r="C13" s="18">
        <v>1.1049723756906077E-2</v>
      </c>
      <c r="D13" s="18">
        <v>2.7624309392265192E-3</v>
      </c>
      <c r="E13" s="18">
        <v>1.6574585635359115E-2</v>
      </c>
      <c r="F13" s="18">
        <v>0.49723756906077349</v>
      </c>
      <c r="G13" s="18">
        <v>0.47237569060773482</v>
      </c>
      <c r="H13" s="18">
        <v>8.2872928176795577E-3</v>
      </c>
      <c r="I13" s="18">
        <v>1.6574585635359115E-2</v>
      </c>
      <c r="J13" s="18">
        <v>5.5248618784530384E-3</v>
      </c>
      <c r="K13" s="18">
        <v>0.50276243093922657</v>
      </c>
      <c r="L13" s="18">
        <v>1</v>
      </c>
      <c r="P13" s="3" t="s">
        <v>75</v>
      </c>
      <c r="Q13">
        <v>1</v>
      </c>
      <c r="R13">
        <v>1</v>
      </c>
      <c r="S13">
        <v>1</v>
      </c>
      <c r="T13">
        <v>1</v>
      </c>
      <c r="U13">
        <v>4</v>
      </c>
    </row>
    <row r="14" spans="1:22" x14ac:dyDescent="0.25">
      <c r="A14" s="17" t="s">
        <v>186</v>
      </c>
      <c r="B14" s="18">
        <v>0.46685082872928174</v>
      </c>
      <c r="C14" s="18">
        <v>1.1049723756906077E-2</v>
      </c>
      <c r="D14" s="18">
        <v>2.7624309392265192E-3</v>
      </c>
      <c r="E14" s="18">
        <v>1.6574585635359115E-2</v>
      </c>
      <c r="F14" s="18">
        <v>0.49723756906077349</v>
      </c>
      <c r="G14" s="18">
        <v>0.47237569060773482</v>
      </c>
      <c r="H14" s="18">
        <v>8.2872928176795577E-3</v>
      </c>
      <c r="I14" s="18">
        <v>1.6574585635359115E-2</v>
      </c>
      <c r="J14" s="18">
        <v>5.5248618784530384E-3</v>
      </c>
      <c r="K14" s="18">
        <v>0.50276243093922657</v>
      </c>
      <c r="L14" s="18">
        <v>1</v>
      </c>
      <c r="P14" s="3" t="s">
        <v>76</v>
      </c>
      <c r="Q14">
        <v>1</v>
      </c>
      <c r="R14">
        <v>1</v>
      </c>
      <c r="S14">
        <v>1</v>
      </c>
      <c r="T14">
        <v>1</v>
      </c>
      <c r="U14">
        <v>4</v>
      </c>
    </row>
    <row r="15" spans="1:22" x14ac:dyDescent="0.25">
      <c r="P15" s="3" t="s">
        <v>97</v>
      </c>
      <c r="Q15">
        <v>1</v>
      </c>
      <c r="R15">
        <v>1</v>
      </c>
      <c r="S15">
        <v>1</v>
      </c>
      <c r="T15">
        <v>1</v>
      </c>
      <c r="U15">
        <v>4</v>
      </c>
    </row>
    <row r="16" spans="1:22" x14ac:dyDescent="0.25">
      <c r="P16" s="3" t="s">
        <v>98</v>
      </c>
      <c r="Q16">
        <v>1</v>
      </c>
      <c r="R16">
        <v>1</v>
      </c>
      <c r="S16">
        <v>1</v>
      </c>
      <c r="T16">
        <v>1</v>
      </c>
      <c r="U16">
        <v>4</v>
      </c>
    </row>
    <row r="17" spans="1:22" x14ac:dyDescent="0.25">
      <c r="P17" s="3" t="s">
        <v>99</v>
      </c>
      <c r="Q17">
        <v>1</v>
      </c>
      <c r="R17">
        <v>1</v>
      </c>
      <c r="S17">
        <v>1</v>
      </c>
      <c r="T17">
        <v>1</v>
      </c>
      <c r="U17">
        <v>4</v>
      </c>
    </row>
    <row r="18" spans="1:22" x14ac:dyDescent="0.25">
      <c r="P18" s="3" t="s">
        <v>108</v>
      </c>
      <c r="Q18">
        <v>1</v>
      </c>
      <c r="R18">
        <v>1</v>
      </c>
      <c r="S18">
        <v>1</v>
      </c>
      <c r="T18">
        <v>1</v>
      </c>
      <c r="U18">
        <v>4</v>
      </c>
    </row>
    <row r="19" spans="1:22" x14ac:dyDescent="0.25">
      <c r="P19" s="3" t="s">
        <v>100</v>
      </c>
      <c r="Q19">
        <v>1</v>
      </c>
      <c r="R19">
        <v>1</v>
      </c>
      <c r="S19">
        <v>1</v>
      </c>
      <c r="T19">
        <v>1</v>
      </c>
      <c r="U19">
        <v>4</v>
      </c>
    </row>
    <row r="20" spans="1:22" x14ac:dyDescent="0.25">
      <c r="A20" s="1" t="s">
        <v>43</v>
      </c>
      <c r="B20" t="s">
        <v>58</v>
      </c>
      <c r="P20" s="3" t="s">
        <v>101</v>
      </c>
      <c r="Q20">
        <v>1</v>
      </c>
      <c r="R20">
        <v>1</v>
      </c>
      <c r="S20">
        <v>1</v>
      </c>
      <c r="T20">
        <v>1</v>
      </c>
      <c r="U20">
        <v>4</v>
      </c>
    </row>
    <row r="21" spans="1:22" x14ac:dyDescent="0.25">
      <c r="P21" s="3" t="s">
        <v>117</v>
      </c>
      <c r="Q21">
        <v>1</v>
      </c>
      <c r="R21">
        <v>1</v>
      </c>
      <c r="S21">
        <v>1</v>
      </c>
      <c r="T21">
        <v>1</v>
      </c>
      <c r="U21">
        <v>4</v>
      </c>
    </row>
    <row r="22" spans="1:22" x14ac:dyDescent="0.25">
      <c r="A22" s="1" t="s">
        <v>199</v>
      </c>
      <c r="B22" s="1" t="s">
        <v>188</v>
      </c>
      <c r="P22" s="3" t="s">
        <v>118</v>
      </c>
      <c r="Q22">
        <v>1</v>
      </c>
      <c r="R22">
        <v>1</v>
      </c>
      <c r="S22">
        <v>1</v>
      </c>
      <c r="T22">
        <v>1</v>
      </c>
      <c r="U22">
        <v>4</v>
      </c>
    </row>
    <row r="23" spans="1:22" x14ac:dyDescent="0.25">
      <c r="A23" s="1" t="s">
        <v>192</v>
      </c>
      <c r="B23" t="s">
        <v>61</v>
      </c>
      <c r="C23" t="s">
        <v>68</v>
      </c>
      <c r="D23" t="s">
        <v>91</v>
      </c>
      <c r="E23" t="s">
        <v>121</v>
      </c>
      <c r="F23" t="s">
        <v>186</v>
      </c>
      <c r="P23" s="3" t="s">
        <v>119</v>
      </c>
      <c r="Q23">
        <v>1</v>
      </c>
      <c r="R23">
        <v>1</v>
      </c>
      <c r="S23">
        <v>1</v>
      </c>
      <c r="T23">
        <v>1</v>
      </c>
      <c r="U23">
        <v>4</v>
      </c>
    </row>
    <row r="24" spans="1:22" x14ac:dyDescent="0.25">
      <c r="A24" s="3" t="s">
        <v>55</v>
      </c>
      <c r="B24">
        <v>174</v>
      </c>
      <c r="C24">
        <v>139</v>
      </c>
      <c r="D24">
        <v>23</v>
      </c>
      <c r="E24">
        <v>4</v>
      </c>
      <c r="F24">
        <v>340</v>
      </c>
      <c r="P24" s="3" t="s">
        <v>120</v>
      </c>
      <c r="Q24">
        <v>1</v>
      </c>
      <c r="R24">
        <v>1</v>
      </c>
      <c r="S24">
        <v>1</v>
      </c>
      <c r="T24">
        <v>1</v>
      </c>
      <c r="U24">
        <v>4</v>
      </c>
    </row>
    <row r="25" spans="1:22" x14ac:dyDescent="0.25">
      <c r="A25" s="3" t="s">
        <v>190</v>
      </c>
      <c r="B25">
        <v>3</v>
      </c>
      <c r="C25">
        <v>1</v>
      </c>
      <c r="F25">
        <v>4</v>
      </c>
      <c r="P25" s="3" t="s">
        <v>128</v>
      </c>
      <c r="Q25">
        <v>1</v>
      </c>
      <c r="R25">
        <v>1</v>
      </c>
      <c r="S25">
        <v>1</v>
      </c>
      <c r="T25">
        <v>1</v>
      </c>
      <c r="U25">
        <v>4</v>
      </c>
    </row>
    <row r="26" spans="1:22" x14ac:dyDescent="0.25">
      <c r="A26" s="3" t="s">
        <v>191</v>
      </c>
      <c r="B26">
        <v>4</v>
      </c>
      <c r="F26">
        <v>4</v>
      </c>
      <c r="P26" s="3" t="s">
        <v>129</v>
      </c>
      <c r="Q26">
        <v>1</v>
      </c>
      <c r="R26">
        <v>1</v>
      </c>
      <c r="S26">
        <v>1</v>
      </c>
      <c r="T26">
        <v>1</v>
      </c>
      <c r="U26">
        <v>4</v>
      </c>
    </row>
    <row r="27" spans="1:22" x14ac:dyDescent="0.25">
      <c r="A27" s="3" t="s">
        <v>111</v>
      </c>
      <c r="B27">
        <v>8</v>
      </c>
      <c r="D27">
        <v>4</v>
      </c>
      <c r="F27">
        <v>12</v>
      </c>
      <c r="P27" s="3" t="s">
        <v>125</v>
      </c>
      <c r="Q27">
        <v>1</v>
      </c>
      <c r="R27">
        <v>1</v>
      </c>
      <c r="S27">
        <v>1</v>
      </c>
      <c r="T27">
        <v>1</v>
      </c>
      <c r="U27">
        <v>4</v>
      </c>
      <c r="V27" t="s">
        <v>198</v>
      </c>
    </row>
    <row r="28" spans="1:22" x14ac:dyDescent="0.25">
      <c r="A28" s="3" t="s">
        <v>143</v>
      </c>
      <c r="B28">
        <v>1</v>
      </c>
      <c r="D28">
        <v>1</v>
      </c>
      <c r="F28">
        <v>2</v>
      </c>
      <c r="P28" s="3" t="s">
        <v>126</v>
      </c>
      <c r="Q28">
        <v>1</v>
      </c>
      <c r="R28">
        <v>1</v>
      </c>
      <c r="S28">
        <v>1</v>
      </c>
      <c r="T28">
        <v>1</v>
      </c>
      <c r="U28">
        <v>4</v>
      </c>
      <c r="V28" t="s">
        <v>198</v>
      </c>
    </row>
    <row r="29" spans="1:22" x14ac:dyDescent="0.25">
      <c r="A29" s="3" t="s">
        <v>186</v>
      </c>
      <c r="B29">
        <v>190</v>
      </c>
      <c r="C29">
        <v>140</v>
      </c>
      <c r="D29">
        <v>28</v>
      </c>
      <c r="E29">
        <v>4</v>
      </c>
      <c r="F29">
        <v>362</v>
      </c>
      <c r="P29" s="3" t="s">
        <v>127</v>
      </c>
      <c r="Q29">
        <v>1</v>
      </c>
      <c r="R29">
        <v>1</v>
      </c>
      <c r="S29">
        <v>1</v>
      </c>
      <c r="T29">
        <v>1</v>
      </c>
      <c r="U29">
        <v>4</v>
      </c>
      <c r="V29" t="s">
        <v>198</v>
      </c>
    </row>
    <row r="30" spans="1:22" x14ac:dyDescent="0.25">
      <c r="P30" s="3" t="s">
        <v>162</v>
      </c>
      <c r="Q30">
        <v>1</v>
      </c>
      <c r="R30">
        <v>1</v>
      </c>
      <c r="S30">
        <v>1</v>
      </c>
      <c r="T30">
        <v>1</v>
      </c>
      <c r="U30">
        <v>4</v>
      </c>
      <c r="V30" t="s">
        <v>198</v>
      </c>
    </row>
    <row r="31" spans="1:22" x14ac:dyDescent="0.25">
      <c r="P31" s="3" t="s">
        <v>163</v>
      </c>
      <c r="Q31">
        <v>1</v>
      </c>
      <c r="R31">
        <v>1</v>
      </c>
      <c r="S31">
        <v>1</v>
      </c>
      <c r="T31">
        <v>1</v>
      </c>
      <c r="U31">
        <v>4</v>
      </c>
      <c r="V31" t="s">
        <v>198</v>
      </c>
    </row>
    <row r="32" spans="1:22" x14ac:dyDescent="0.25">
      <c r="A32" s="3"/>
      <c r="P32" s="3" t="s">
        <v>164</v>
      </c>
      <c r="Q32">
        <v>1</v>
      </c>
      <c r="R32">
        <v>1</v>
      </c>
      <c r="S32">
        <v>1</v>
      </c>
      <c r="T32">
        <v>1</v>
      </c>
      <c r="U32">
        <v>4</v>
      </c>
      <c r="V32" t="s">
        <v>198</v>
      </c>
    </row>
    <row r="33" spans="1:22" x14ac:dyDescent="0.25">
      <c r="A33" s="3"/>
      <c r="P33" s="3" t="s">
        <v>165</v>
      </c>
      <c r="Q33">
        <v>1</v>
      </c>
      <c r="R33">
        <v>1</v>
      </c>
      <c r="S33">
        <v>1</v>
      </c>
      <c r="T33">
        <v>1</v>
      </c>
      <c r="U33">
        <v>4</v>
      </c>
      <c r="V33" t="s">
        <v>198</v>
      </c>
    </row>
    <row r="34" spans="1:22" x14ac:dyDescent="0.25">
      <c r="A34" s="3"/>
      <c r="P34" s="3" t="s">
        <v>166</v>
      </c>
      <c r="Q34">
        <v>1</v>
      </c>
      <c r="R34">
        <v>1</v>
      </c>
      <c r="S34">
        <v>1</v>
      </c>
      <c r="T34">
        <v>1</v>
      </c>
      <c r="U34">
        <v>4</v>
      </c>
      <c r="V34" t="s">
        <v>198</v>
      </c>
    </row>
    <row r="35" spans="1:22" x14ac:dyDescent="0.25">
      <c r="A35" s="3"/>
      <c r="P35" s="3" t="s">
        <v>167</v>
      </c>
      <c r="Q35">
        <v>1</v>
      </c>
      <c r="R35">
        <v>1</v>
      </c>
      <c r="S35">
        <v>1</v>
      </c>
      <c r="T35">
        <v>1</v>
      </c>
      <c r="U35">
        <v>4</v>
      </c>
      <c r="V35" t="s">
        <v>198</v>
      </c>
    </row>
    <row r="36" spans="1:22" x14ac:dyDescent="0.25">
      <c r="A36" s="3"/>
      <c r="P36" s="3" t="s">
        <v>168</v>
      </c>
      <c r="Q36">
        <v>1</v>
      </c>
      <c r="R36">
        <v>1</v>
      </c>
      <c r="S36">
        <v>1</v>
      </c>
      <c r="T36">
        <v>1</v>
      </c>
      <c r="U36">
        <v>4</v>
      </c>
      <c r="V36" t="s">
        <v>198</v>
      </c>
    </row>
    <row r="37" spans="1:22" x14ac:dyDescent="0.25">
      <c r="A37" s="3"/>
      <c r="P37" s="3" t="s">
        <v>169</v>
      </c>
      <c r="Q37">
        <v>1</v>
      </c>
      <c r="R37">
        <v>1</v>
      </c>
      <c r="S37">
        <v>1</v>
      </c>
      <c r="T37">
        <v>1</v>
      </c>
      <c r="U37">
        <v>4</v>
      </c>
    </row>
    <row r="38" spans="1:22" x14ac:dyDescent="0.25">
      <c r="P38" s="3" t="s">
        <v>172</v>
      </c>
      <c r="Q38">
        <v>1</v>
      </c>
      <c r="R38">
        <v>1</v>
      </c>
      <c r="S38">
        <v>1</v>
      </c>
      <c r="T38">
        <v>1</v>
      </c>
      <c r="U38">
        <v>4</v>
      </c>
    </row>
    <row r="39" spans="1:22" x14ac:dyDescent="0.25">
      <c r="A39" s="1" t="s">
        <v>51</v>
      </c>
      <c r="B39" t="s">
        <v>200</v>
      </c>
      <c r="P39" s="3" t="s">
        <v>173</v>
      </c>
      <c r="Q39">
        <v>1</v>
      </c>
      <c r="R39">
        <v>1</v>
      </c>
      <c r="S39">
        <v>1</v>
      </c>
      <c r="T39">
        <v>1</v>
      </c>
      <c r="U39">
        <v>4</v>
      </c>
    </row>
    <row r="40" spans="1:22" x14ac:dyDescent="0.25">
      <c r="A40" s="1" t="s">
        <v>43</v>
      </c>
      <c r="B40" t="s">
        <v>200</v>
      </c>
      <c r="P40" s="3" t="s">
        <v>175</v>
      </c>
      <c r="Q40">
        <v>1</v>
      </c>
      <c r="R40">
        <v>1</v>
      </c>
      <c r="S40">
        <v>1</v>
      </c>
      <c r="T40">
        <v>1</v>
      </c>
      <c r="U40">
        <v>4</v>
      </c>
    </row>
    <row r="41" spans="1:22" x14ac:dyDescent="0.25">
      <c r="P41" s="3" t="s">
        <v>174</v>
      </c>
      <c r="Q41">
        <v>1</v>
      </c>
      <c r="R41">
        <v>1</v>
      </c>
      <c r="S41">
        <v>1</v>
      </c>
      <c r="T41">
        <v>1</v>
      </c>
      <c r="U41">
        <v>4</v>
      </c>
    </row>
    <row r="42" spans="1:22" x14ac:dyDescent="0.25">
      <c r="A42" s="1" t="s">
        <v>201</v>
      </c>
      <c r="B42" s="1" t="s">
        <v>202</v>
      </c>
      <c r="P42" s="3" t="s">
        <v>170</v>
      </c>
      <c r="Q42">
        <v>1</v>
      </c>
      <c r="R42">
        <v>1</v>
      </c>
      <c r="S42">
        <v>1</v>
      </c>
      <c r="T42">
        <v>1</v>
      </c>
      <c r="U42">
        <v>4</v>
      </c>
    </row>
    <row r="43" spans="1:22" x14ac:dyDescent="0.25">
      <c r="A43" s="1" t="s">
        <v>203</v>
      </c>
      <c r="B43" t="s">
        <v>204</v>
      </c>
      <c r="C43" t="s">
        <v>205</v>
      </c>
      <c r="D43" t="s">
        <v>206</v>
      </c>
      <c r="E43" t="s">
        <v>186</v>
      </c>
      <c r="P43" s="3" t="s">
        <v>171</v>
      </c>
      <c r="Q43">
        <v>1</v>
      </c>
      <c r="R43">
        <v>1</v>
      </c>
      <c r="S43">
        <v>1</v>
      </c>
      <c r="T43">
        <v>1</v>
      </c>
      <c r="U43">
        <v>4</v>
      </c>
    </row>
    <row r="44" spans="1:22" x14ac:dyDescent="0.25">
      <c r="A44" s="2">
        <v>45555</v>
      </c>
      <c r="B44">
        <v>10</v>
      </c>
      <c r="D44">
        <v>8</v>
      </c>
      <c r="E44">
        <v>18</v>
      </c>
      <c r="P44" s="3" t="s">
        <v>157</v>
      </c>
      <c r="Q44">
        <v>1</v>
      </c>
      <c r="R44">
        <v>1</v>
      </c>
      <c r="S44">
        <v>1</v>
      </c>
      <c r="T44">
        <v>1</v>
      </c>
      <c r="U44">
        <v>4</v>
      </c>
    </row>
    <row r="45" spans="1:22" x14ac:dyDescent="0.25">
      <c r="A45" s="2">
        <v>45558</v>
      </c>
      <c r="B45">
        <v>2</v>
      </c>
      <c r="E45">
        <v>2</v>
      </c>
      <c r="P45" s="3" t="s">
        <v>158</v>
      </c>
      <c r="Q45">
        <v>1</v>
      </c>
      <c r="R45">
        <v>1</v>
      </c>
      <c r="S45">
        <v>1</v>
      </c>
      <c r="T45">
        <v>1</v>
      </c>
      <c r="U45">
        <v>4</v>
      </c>
    </row>
    <row r="46" spans="1:22" x14ac:dyDescent="0.25">
      <c r="A46" s="2">
        <v>45559</v>
      </c>
      <c r="B46">
        <v>5</v>
      </c>
      <c r="D46">
        <v>92</v>
      </c>
      <c r="E46">
        <v>97</v>
      </c>
      <c r="P46" s="3" t="s">
        <v>79</v>
      </c>
      <c r="Q46">
        <v>1</v>
      </c>
      <c r="R46">
        <v>1</v>
      </c>
      <c r="S46">
        <v>1</v>
      </c>
      <c r="T46">
        <v>1</v>
      </c>
      <c r="U46">
        <v>4</v>
      </c>
    </row>
    <row r="47" spans="1:22" x14ac:dyDescent="0.25">
      <c r="A47" s="2">
        <v>45560</v>
      </c>
      <c r="D47">
        <v>14</v>
      </c>
      <c r="E47">
        <v>14</v>
      </c>
      <c r="P47" s="3" t="s">
        <v>77</v>
      </c>
      <c r="Q47">
        <v>1</v>
      </c>
      <c r="R47">
        <v>1</v>
      </c>
      <c r="S47">
        <v>1</v>
      </c>
      <c r="T47">
        <v>1</v>
      </c>
      <c r="U47">
        <v>4</v>
      </c>
    </row>
    <row r="48" spans="1:22" x14ac:dyDescent="0.25">
      <c r="A48" s="2">
        <v>45561</v>
      </c>
      <c r="B48">
        <v>8</v>
      </c>
      <c r="D48">
        <v>5</v>
      </c>
      <c r="E48">
        <v>13</v>
      </c>
      <c r="P48" s="3" t="s">
        <v>147</v>
      </c>
      <c r="Q48">
        <v>1</v>
      </c>
      <c r="R48">
        <v>1</v>
      </c>
      <c r="S48">
        <v>1</v>
      </c>
      <c r="T48">
        <v>1</v>
      </c>
      <c r="U48">
        <v>4</v>
      </c>
    </row>
    <row r="49" spans="1:21" x14ac:dyDescent="0.25">
      <c r="A49" s="2">
        <v>45565</v>
      </c>
      <c r="B49">
        <v>14</v>
      </c>
      <c r="D49">
        <v>10</v>
      </c>
      <c r="E49">
        <v>24</v>
      </c>
      <c r="P49" s="3" t="s">
        <v>146</v>
      </c>
      <c r="Q49">
        <v>1</v>
      </c>
      <c r="R49">
        <v>1</v>
      </c>
      <c r="S49">
        <v>1</v>
      </c>
      <c r="T49">
        <v>1</v>
      </c>
      <c r="U49">
        <v>4</v>
      </c>
    </row>
    <row r="50" spans="1:21" x14ac:dyDescent="0.25">
      <c r="A50" s="2">
        <v>45566</v>
      </c>
      <c r="B50">
        <v>3</v>
      </c>
      <c r="D50">
        <v>10</v>
      </c>
      <c r="E50">
        <v>13</v>
      </c>
      <c r="P50" s="3" t="s">
        <v>149</v>
      </c>
      <c r="Q50">
        <v>1</v>
      </c>
      <c r="R50">
        <v>1</v>
      </c>
      <c r="S50">
        <v>1</v>
      </c>
      <c r="T50">
        <v>1</v>
      </c>
      <c r="U50">
        <v>4</v>
      </c>
    </row>
    <row r="51" spans="1:21" x14ac:dyDescent="0.25">
      <c r="A51" s="2">
        <v>45567</v>
      </c>
      <c r="D51">
        <v>8</v>
      </c>
      <c r="E51">
        <v>8</v>
      </c>
      <c r="P51" s="3" t="s">
        <v>148</v>
      </c>
      <c r="Q51">
        <v>1</v>
      </c>
      <c r="R51">
        <v>1</v>
      </c>
      <c r="S51">
        <v>1</v>
      </c>
      <c r="T51">
        <v>1</v>
      </c>
      <c r="U51">
        <v>4</v>
      </c>
    </row>
    <row r="52" spans="1:21" x14ac:dyDescent="0.25">
      <c r="A52" s="2">
        <v>45568</v>
      </c>
      <c r="B52">
        <v>8</v>
      </c>
      <c r="D52">
        <v>4</v>
      </c>
      <c r="E52">
        <v>12</v>
      </c>
      <c r="P52" s="3" t="s">
        <v>150</v>
      </c>
      <c r="Q52">
        <v>1</v>
      </c>
      <c r="R52">
        <v>1</v>
      </c>
      <c r="S52">
        <v>1</v>
      </c>
      <c r="T52">
        <v>1</v>
      </c>
      <c r="U52">
        <v>4</v>
      </c>
    </row>
    <row r="53" spans="1:21" x14ac:dyDescent="0.25">
      <c r="A53" s="2">
        <v>45569</v>
      </c>
      <c r="B53">
        <v>14</v>
      </c>
      <c r="D53">
        <v>14</v>
      </c>
      <c r="E53">
        <v>28</v>
      </c>
      <c r="P53" s="3" t="s">
        <v>142</v>
      </c>
      <c r="Q53">
        <v>1</v>
      </c>
      <c r="R53">
        <v>1</v>
      </c>
      <c r="S53">
        <v>1</v>
      </c>
      <c r="T53">
        <v>1</v>
      </c>
      <c r="U53">
        <v>4</v>
      </c>
    </row>
    <row r="54" spans="1:21" x14ac:dyDescent="0.25">
      <c r="A54" s="2">
        <v>45572</v>
      </c>
      <c r="B54">
        <v>12</v>
      </c>
      <c r="D54">
        <v>18</v>
      </c>
      <c r="E54">
        <v>30</v>
      </c>
      <c r="P54" s="3" t="s">
        <v>155</v>
      </c>
      <c r="Q54">
        <v>1</v>
      </c>
      <c r="R54">
        <v>1</v>
      </c>
      <c r="S54">
        <v>1</v>
      </c>
      <c r="T54">
        <v>1</v>
      </c>
      <c r="U54">
        <v>4</v>
      </c>
    </row>
    <row r="55" spans="1:21" x14ac:dyDescent="0.25">
      <c r="A55" s="2">
        <v>45573</v>
      </c>
      <c r="B55">
        <v>10</v>
      </c>
      <c r="D55">
        <v>4</v>
      </c>
      <c r="E55">
        <v>14</v>
      </c>
      <c r="P55" s="3" t="s">
        <v>154</v>
      </c>
      <c r="Q55">
        <v>1</v>
      </c>
      <c r="R55">
        <v>1</v>
      </c>
      <c r="S55">
        <v>1</v>
      </c>
      <c r="T55">
        <v>1</v>
      </c>
      <c r="U55">
        <v>4</v>
      </c>
    </row>
    <row r="56" spans="1:21" x14ac:dyDescent="0.25">
      <c r="A56" s="2">
        <v>45574</v>
      </c>
      <c r="B56">
        <v>12</v>
      </c>
      <c r="D56">
        <v>9</v>
      </c>
      <c r="E56">
        <v>21</v>
      </c>
      <c r="P56" s="3" t="s">
        <v>151</v>
      </c>
      <c r="Q56">
        <v>1</v>
      </c>
      <c r="R56">
        <v>1</v>
      </c>
      <c r="S56">
        <v>1</v>
      </c>
      <c r="T56">
        <v>1</v>
      </c>
      <c r="U56">
        <v>4</v>
      </c>
    </row>
    <row r="57" spans="1:21" x14ac:dyDescent="0.25">
      <c r="A57" s="2">
        <v>45575</v>
      </c>
      <c r="B57">
        <v>5</v>
      </c>
      <c r="D57">
        <v>5</v>
      </c>
      <c r="E57">
        <v>10</v>
      </c>
      <c r="P57" s="3" t="s">
        <v>152</v>
      </c>
      <c r="Q57">
        <v>1</v>
      </c>
      <c r="R57">
        <v>1</v>
      </c>
      <c r="S57">
        <v>1</v>
      </c>
      <c r="T57">
        <v>1</v>
      </c>
      <c r="U57">
        <v>4</v>
      </c>
    </row>
    <row r="58" spans="1:21" x14ac:dyDescent="0.25">
      <c r="A58" s="2">
        <v>45576</v>
      </c>
      <c r="B58">
        <v>10</v>
      </c>
      <c r="D58">
        <v>6</v>
      </c>
      <c r="E58">
        <v>16</v>
      </c>
      <c r="P58" s="3" t="s">
        <v>177</v>
      </c>
      <c r="Q58">
        <v>1</v>
      </c>
      <c r="R58">
        <v>1</v>
      </c>
      <c r="S58">
        <v>1</v>
      </c>
      <c r="T58">
        <v>1</v>
      </c>
      <c r="U58">
        <v>4</v>
      </c>
    </row>
    <row r="59" spans="1:21" x14ac:dyDescent="0.25">
      <c r="A59" s="2">
        <v>45579</v>
      </c>
      <c r="B59">
        <v>8</v>
      </c>
      <c r="D59">
        <v>14</v>
      </c>
      <c r="E59">
        <v>22</v>
      </c>
      <c r="P59" s="3" t="s">
        <v>145</v>
      </c>
      <c r="Q59">
        <v>1</v>
      </c>
      <c r="R59">
        <v>1</v>
      </c>
      <c r="S59">
        <v>1</v>
      </c>
      <c r="T59">
        <v>1</v>
      </c>
      <c r="U59">
        <v>4</v>
      </c>
    </row>
    <row r="60" spans="1:21" x14ac:dyDescent="0.25">
      <c r="A60" s="2">
        <v>45580</v>
      </c>
      <c r="B60">
        <v>12</v>
      </c>
      <c r="D60">
        <v>5</v>
      </c>
      <c r="E60">
        <v>17</v>
      </c>
      <c r="P60" s="3" t="s">
        <v>153</v>
      </c>
      <c r="Q60">
        <v>1</v>
      </c>
      <c r="R60">
        <v>1</v>
      </c>
      <c r="S60">
        <v>1</v>
      </c>
      <c r="T60">
        <v>1</v>
      </c>
      <c r="U60">
        <v>4</v>
      </c>
    </row>
    <row r="61" spans="1:21" x14ac:dyDescent="0.25">
      <c r="A61" s="2">
        <v>45581</v>
      </c>
      <c r="B61">
        <v>3</v>
      </c>
      <c r="E61">
        <v>3</v>
      </c>
      <c r="P61" s="3" t="s">
        <v>90</v>
      </c>
      <c r="Q61">
        <v>1</v>
      </c>
      <c r="R61">
        <v>1</v>
      </c>
      <c r="S61">
        <v>1</v>
      </c>
      <c r="T61">
        <v>1</v>
      </c>
      <c r="U61">
        <v>4</v>
      </c>
    </row>
    <row r="62" spans="1:21" x14ac:dyDescent="0.25">
      <c r="A62" s="3" t="s">
        <v>205</v>
      </c>
      <c r="P62" s="3" t="s">
        <v>131</v>
      </c>
      <c r="S62">
        <v>1</v>
      </c>
      <c r="T62">
        <v>1</v>
      </c>
      <c r="U62">
        <v>2</v>
      </c>
    </row>
    <row r="63" spans="1:21" x14ac:dyDescent="0.25">
      <c r="A63" s="3" t="s">
        <v>186</v>
      </c>
      <c r="B63">
        <v>136</v>
      </c>
      <c r="D63">
        <v>226</v>
      </c>
      <c r="E63">
        <v>362</v>
      </c>
      <c r="P63" s="3" t="s">
        <v>132</v>
      </c>
      <c r="Q63">
        <v>1</v>
      </c>
      <c r="R63">
        <v>1</v>
      </c>
      <c r="S63">
        <v>1</v>
      </c>
      <c r="T63">
        <v>1</v>
      </c>
      <c r="U63">
        <v>4</v>
      </c>
    </row>
    <row r="64" spans="1:21" x14ac:dyDescent="0.25">
      <c r="P64" s="3" t="s">
        <v>138</v>
      </c>
      <c r="Q64">
        <v>1</v>
      </c>
      <c r="R64">
        <v>1</v>
      </c>
      <c r="S64">
        <v>1</v>
      </c>
      <c r="T64">
        <v>1</v>
      </c>
      <c r="U64">
        <v>4</v>
      </c>
    </row>
    <row r="65" spans="2:21" x14ac:dyDescent="0.25">
      <c r="P65" s="3" t="s">
        <v>93</v>
      </c>
      <c r="Q65">
        <v>1</v>
      </c>
      <c r="R65">
        <v>1</v>
      </c>
      <c r="S65">
        <v>1</v>
      </c>
      <c r="T65">
        <v>1</v>
      </c>
      <c r="U65">
        <v>4</v>
      </c>
    </row>
    <row r="66" spans="2:21" x14ac:dyDescent="0.25">
      <c r="B66" s="1" t="s">
        <v>47</v>
      </c>
      <c r="C66" t="s">
        <v>207</v>
      </c>
      <c r="P66" s="3" t="s">
        <v>102</v>
      </c>
      <c r="Q66">
        <v>1</v>
      </c>
      <c r="R66">
        <v>1</v>
      </c>
      <c r="S66">
        <v>1</v>
      </c>
      <c r="T66">
        <v>1</v>
      </c>
      <c r="U66">
        <v>4</v>
      </c>
    </row>
    <row r="67" spans="2:21" x14ac:dyDescent="0.25">
      <c r="B67" s="1" t="s">
        <v>43</v>
      </c>
      <c r="C67" t="s">
        <v>200</v>
      </c>
      <c r="P67" s="3" t="s">
        <v>103</v>
      </c>
      <c r="Q67">
        <v>1</v>
      </c>
      <c r="R67">
        <v>1</v>
      </c>
      <c r="S67">
        <v>1</v>
      </c>
      <c r="T67">
        <v>1</v>
      </c>
      <c r="U67">
        <v>4</v>
      </c>
    </row>
    <row r="68" spans="2:21" x14ac:dyDescent="0.25">
      <c r="P68" s="3" t="s">
        <v>96</v>
      </c>
      <c r="Q68">
        <v>1</v>
      </c>
      <c r="R68">
        <v>1</v>
      </c>
      <c r="S68">
        <v>1</v>
      </c>
      <c r="T68">
        <v>1</v>
      </c>
      <c r="U68">
        <v>4</v>
      </c>
    </row>
    <row r="69" spans="2:21" x14ac:dyDescent="0.25">
      <c r="B69" s="1" t="s">
        <v>201</v>
      </c>
      <c r="C69" s="1" t="s">
        <v>188</v>
      </c>
      <c r="N69"/>
      <c r="O69"/>
      <c r="P69" s="3" t="s">
        <v>107</v>
      </c>
      <c r="Q69">
        <v>1</v>
      </c>
      <c r="R69">
        <v>1</v>
      </c>
      <c r="S69">
        <v>1</v>
      </c>
      <c r="T69">
        <v>1</v>
      </c>
      <c r="U69">
        <v>4</v>
      </c>
    </row>
    <row r="70" spans="2:21" x14ac:dyDescent="0.25">
      <c r="B70" s="1" t="s">
        <v>192</v>
      </c>
      <c r="C70" t="s">
        <v>78</v>
      </c>
      <c r="D70" t="s">
        <v>69</v>
      </c>
      <c r="E70" t="s">
        <v>84</v>
      </c>
      <c r="F70" t="s">
        <v>62</v>
      </c>
      <c r="G70" t="s">
        <v>95</v>
      </c>
      <c r="H70" t="s">
        <v>111</v>
      </c>
      <c r="I70" t="s">
        <v>143</v>
      </c>
      <c r="J70" t="s">
        <v>186</v>
      </c>
      <c r="N70"/>
      <c r="O70"/>
      <c r="P70" s="3" t="s">
        <v>109</v>
      </c>
      <c r="Q70">
        <v>1</v>
      </c>
      <c r="R70">
        <v>1</v>
      </c>
      <c r="S70">
        <v>1</v>
      </c>
      <c r="T70">
        <v>1</v>
      </c>
      <c r="U70">
        <v>4</v>
      </c>
    </row>
    <row r="71" spans="2:21" x14ac:dyDescent="0.25">
      <c r="B71" s="3" t="s">
        <v>64</v>
      </c>
      <c r="C71">
        <v>17</v>
      </c>
      <c r="D71">
        <v>102</v>
      </c>
      <c r="E71">
        <v>4</v>
      </c>
      <c r="F71">
        <v>50</v>
      </c>
      <c r="G71">
        <v>1</v>
      </c>
      <c r="H71">
        <v>6</v>
      </c>
      <c r="J71">
        <v>180</v>
      </c>
      <c r="N71"/>
      <c r="O71"/>
      <c r="P71" s="3" t="s">
        <v>81</v>
      </c>
      <c r="Q71">
        <v>1</v>
      </c>
      <c r="R71">
        <v>1</v>
      </c>
      <c r="S71">
        <v>1</v>
      </c>
      <c r="T71">
        <v>1</v>
      </c>
      <c r="U71">
        <v>4</v>
      </c>
    </row>
    <row r="72" spans="2:21" x14ac:dyDescent="0.25">
      <c r="B72" s="3" t="s">
        <v>63</v>
      </c>
      <c r="C72">
        <v>10</v>
      </c>
      <c r="D72">
        <v>112</v>
      </c>
      <c r="F72">
        <v>49</v>
      </c>
      <c r="G72">
        <v>3</v>
      </c>
      <c r="H72">
        <v>6</v>
      </c>
      <c r="I72">
        <v>2</v>
      </c>
      <c r="J72">
        <v>182</v>
      </c>
      <c r="N72"/>
      <c r="O72"/>
      <c r="P72" s="3" t="s">
        <v>122</v>
      </c>
      <c r="Q72">
        <v>1</v>
      </c>
      <c r="R72">
        <v>1</v>
      </c>
      <c r="S72">
        <v>1</v>
      </c>
      <c r="T72">
        <v>1</v>
      </c>
      <c r="U72">
        <v>4</v>
      </c>
    </row>
    <row r="73" spans="2:21" x14ac:dyDescent="0.25">
      <c r="B73" s="3" t="s">
        <v>186</v>
      </c>
      <c r="C73">
        <v>27</v>
      </c>
      <c r="D73">
        <v>214</v>
      </c>
      <c r="E73">
        <v>4</v>
      </c>
      <c r="F73">
        <v>99</v>
      </c>
      <c r="G73">
        <v>4</v>
      </c>
      <c r="H73">
        <v>12</v>
      </c>
      <c r="I73">
        <v>2</v>
      </c>
      <c r="J73">
        <v>362</v>
      </c>
      <c r="N73"/>
      <c r="O73"/>
      <c r="P73" s="3" t="s">
        <v>123</v>
      </c>
      <c r="Q73">
        <v>1</v>
      </c>
      <c r="R73">
        <v>1</v>
      </c>
      <c r="S73">
        <v>1</v>
      </c>
      <c r="T73">
        <v>1</v>
      </c>
      <c r="U73">
        <v>4</v>
      </c>
    </row>
    <row r="74" spans="2:21" x14ac:dyDescent="0.25">
      <c r="N74"/>
      <c r="O74"/>
      <c r="P74" s="3" t="s">
        <v>124</v>
      </c>
      <c r="Q74">
        <v>1</v>
      </c>
      <c r="R74">
        <v>1</v>
      </c>
      <c r="S74">
        <v>1</v>
      </c>
      <c r="T74">
        <v>1</v>
      </c>
      <c r="U74">
        <v>4</v>
      </c>
    </row>
    <row r="75" spans="2:21" x14ac:dyDescent="0.25">
      <c r="N75"/>
      <c r="O75"/>
      <c r="P75" s="3" t="s">
        <v>86</v>
      </c>
      <c r="Q75">
        <v>1</v>
      </c>
      <c r="R75">
        <v>1</v>
      </c>
      <c r="S75">
        <v>1</v>
      </c>
      <c r="T75">
        <v>1</v>
      </c>
      <c r="U75">
        <v>4</v>
      </c>
    </row>
    <row r="76" spans="2:21" x14ac:dyDescent="0.25">
      <c r="N76"/>
      <c r="O76"/>
      <c r="P76" s="3" t="s">
        <v>88</v>
      </c>
      <c r="Q76">
        <v>1</v>
      </c>
      <c r="R76">
        <v>1</v>
      </c>
      <c r="S76">
        <v>1</v>
      </c>
      <c r="T76">
        <v>1</v>
      </c>
      <c r="U76">
        <v>4</v>
      </c>
    </row>
    <row r="77" spans="2:21" x14ac:dyDescent="0.25">
      <c r="N77"/>
      <c r="O77"/>
      <c r="P77" s="3" t="s">
        <v>89</v>
      </c>
      <c r="Q77">
        <v>1</v>
      </c>
      <c r="R77">
        <v>1</v>
      </c>
      <c r="S77">
        <v>1</v>
      </c>
      <c r="T77">
        <v>1</v>
      </c>
      <c r="U77">
        <v>4</v>
      </c>
    </row>
    <row r="78" spans="2:21" x14ac:dyDescent="0.25">
      <c r="N78"/>
      <c r="O78"/>
      <c r="P78" s="3" t="s">
        <v>83</v>
      </c>
      <c r="Q78">
        <v>1</v>
      </c>
      <c r="R78">
        <v>1</v>
      </c>
      <c r="S78">
        <v>1</v>
      </c>
      <c r="T78">
        <v>1</v>
      </c>
      <c r="U78">
        <v>4</v>
      </c>
    </row>
    <row r="79" spans="2:21" x14ac:dyDescent="0.25">
      <c r="N79"/>
      <c r="O79"/>
      <c r="P79" s="3" t="s">
        <v>85</v>
      </c>
      <c r="Q79">
        <v>1</v>
      </c>
      <c r="R79">
        <v>1</v>
      </c>
      <c r="S79">
        <v>1</v>
      </c>
      <c r="T79">
        <v>1</v>
      </c>
      <c r="U79">
        <v>4</v>
      </c>
    </row>
    <row r="80" spans="2:21" x14ac:dyDescent="0.25">
      <c r="N80"/>
      <c r="P80" s="3" t="s">
        <v>87</v>
      </c>
      <c r="Q80">
        <v>1</v>
      </c>
      <c r="R80">
        <v>1</v>
      </c>
      <c r="S80">
        <v>1</v>
      </c>
      <c r="T80">
        <v>1</v>
      </c>
      <c r="U80">
        <v>4</v>
      </c>
    </row>
    <row r="81" spans="16:21" x14ac:dyDescent="0.25">
      <c r="P81" s="3" t="s">
        <v>60</v>
      </c>
      <c r="Q81">
        <v>2</v>
      </c>
      <c r="R81">
        <v>2</v>
      </c>
      <c r="S81">
        <v>2</v>
      </c>
      <c r="T81">
        <v>2</v>
      </c>
      <c r="U81">
        <v>8</v>
      </c>
    </row>
    <row r="82" spans="16:21" x14ac:dyDescent="0.25">
      <c r="P82" s="3" t="s">
        <v>110</v>
      </c>
      <c r="Q82">
        <v>1</v>
      </c>
      <c r="R82">
        <v>1</v>
      </c>
      <c r="S82">
        <v>1</v>
      </c>
      <c r="T82">
        <v>1</v>
      </c>
      <c r="U82">
        <v>4</v>
      </c>
    </row>
    <row r="83" spans="16:21" x14ac:dyDescent="0.25">
      <c r="P83" s="3" t="s">
        <v>112</v>
      </c>
      <c r="Q83">
        <v>1</v>
      </c>
      <c r="R83">
        <v>1</v>
      </c>
      <c r="S83">
        <v>1</v>
      </c>
      <c r="T83">
        <v>1</v>
      </c>
      <c r="U83">
        <v>4</v>
      </c>
    </row>
    <row r="84" spans="16:21" x14ac:dyDescent="0.25">
      <c r="P84" s="3" t="s">
        <v>113</v>
      </c>
      <c r="Q84">
        <v>1</v>
      </c>
      <c r="R84">
        <v>1</v>
      </c>
      <c r="S84">
        <v>1</v>
      </c>
      <c r="T84">
        <v>1</v>
      </c>
      <c r="U84">
        <v>4</v>
      </c>
    </row>
    <row r="85" spans="16:21" x14ac:dyDescent="0.25">
      <c r="P85" s="3" t="s">
        <v>114</v>
      </c>
      <c r="Q85">
        <v>1</v>
      </c>
      <c r="R85">
        <v>1</v>
      </c>
      <c r="S85">
        <v>1</v>
      </c>
      <c r="T85">
        <v>1</v>
      </c>
      <c r="U85">
        <v>4</v>
      </c>
    </row>
    <row r="86" spans="16:21" x14ac:dyDescent="0.25">
      <c r="P86" s="3" t="s">
        <v>160</v>
      </c>
      <c r="Q86">
        <v>1</v>
      </c>
      <c r="R86">
        <v>1</v>
      </c>
      <c r="S86">
        <v>1</v>
      </c>
      <c r="T86">
        <v>1</v>
      </c>
      <c r="U86">
        <v>4</v>
      </c>
    </row>
    <row r="87" spans="16:21" x14ac:dyDescent="0.25">
      <c r="P87" s="3" t="s">
        <v>156</v>
      </c>
      <c r="Q87">
        <v>1</v>
      </c>
      <c r="R87">
        <v>1</v>
      </c>
      <c r="S87">
        <v>1</v>
      </c>
      <c r="T87">
        <v>1</v>
      </c>
      <c r="U87">
        <v>4</v>
      </c>
    </row>
    <row r="88" spans="16:21" x14ac:dyDescent="0.25">
      <c r="P88" s="3" t="s">
        <v>133</v>
      </c>
      <c r="Q88">
        <v>1</v>
      </c>
      <c r="R88">
        <v>1</v>
      </c>
      <c r="S88">
        <v>1</v>
      </c>
      <c r="T88">
        <v>1</v>
      </c>
      <c r="U88">
        <v>4</v>
      </c>
    </row>
    <row r="89" spans="16:21" x14ac:dyDescent="0.25">
      <c r="P89" s="3" t="s">
        <v>134</v>
      </c>
      <c r="Q89">
        <v>1</v>
      </c>
      <c r="R89">
        <v>1</v>
      </c>
      <c r="S89">
        <v>1</v>
      </c>
      <c r="T89">
        <v>1</v>
      </c>
      <c r="U89">
        <v>4</v>
      </c>
    </row>
    <row r="90" spans="16:21" x14ac:dyDescent="0.25">
      <c r="P90" s="3" t="s">
        <v>135</v>
      </c>
      <c r="Q90">
        <v>1</v>
      </c>
      <c r="R90">
        <v>1</v>
      </c>
      <c r="S90">
        <v>1</v>
      </c>
      <c r="T90">
        <v>1</v>
      </c>
      <c r="U90">
        <v>4</v>
      </c>
    </row>
    <row r="91" spans="16:21" x14ac:dyDescent="0.25">
      <c r="P91" s="3" t="s">
        <v>136</v>
      </c>
      <c r="Q91">
        <v>1</v>
      </c>
      <c r="R91">
        <v>1</v>
      </c>
      <c r="S91">
        <v>1</v>
      </c>
      <c r="T91">
        <v>1</v>
      </c>
      <c r="U91">
        <v>4</v>
      </c>
    </row>
    <row r="92" spans="16:21" x14ac:dyDescent="0.25">
      <c r="P92" s="3" t="s">
        <v>65</v>
      </c>
      <c r="Q92">
        <v>2</v>
      </c>
      <c r="R92">
        <v>2</v>
      </c>
      <c r="S92">
        <v>2</v>
      </c>
      <c r="T92">
        <v>2</v>
      </c>
      <c r="U92">
        <v>8</v>
      </c>
    </row>
    <row r="93" spans="16:21" x14ac:dyDescent="0.25">
      <c r="P93" s="3" t="s">
        <v>140</v>
      </c>
      <c r="Q93">
        <v>1</v>
      </c>
      <c r="R93">
        <v>1</v>
      </c>
      <c r="S93">
        <v>1</v>
      </c>
      <c r="T93">
        <v>1</v>
      </c>
      <c r="U93">
        <v>4</v>
      </c>
    </row>
    <row r="94" spans="16:21" x14ac:dyDescent="0.25">
      <c r="P94" s="3" t="s">
        <v>186</v>
      </c>
      <c r="Q94">
        <v>90</v>
      </c>
      <c r="R94">
        <v>90</v>
      </c>
      <c r="S94">
        <v>91</v>
      </c>
      <c r="T94">
        <v>91</v>
      </c>
      <c r="U94">
        <v>362</v>
      </c>
    </row>
  </sheetData>
  <pageMargins left="0.7" right="0.7" top="0.75" bottom="0.75" header="0.3" footer="0.3"/>
  <pageSetup paperSize="9" orientation="portrait" horizontalDpi="90" verticalDpi="90"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909B-957D-4E4A-9EA3-A7978A823C92}">
  <dimension ref="A1:BB96"/>
  <sheetViews>
    <sheetView zoomScale="145" zoomScaleNormal="145" workbookViewId="0">
      <pane xSplit="3" ySplit="2" topLeftCell="T3" activePane="bottomRight" state="frozen"/>
      <selection pane="topRight" activeCell="D1" sqref="D1"/>
      <selection pane="bottomLeft" activeCell="A3" sqref="A3"/>
      <selection pane="bottomRight" activeCell="V3" sqref="V3"/>
    </sheetView>
  </sheetViews>
  <sheetFormatPr defaultRowHeight="15" x14ac:dyDescent="0.25"/>
  <cols>
    <col min="1" max="1" width="6.85546875" bestFit="1" customWidth="1"/>
    <col min="2" max="2" width="8.7109375" bestFit="1" customWidth="1"/>
    <col min="3" max="3" width="16.85546875" customWidth="1"/>
    <col min="4" max="4" width="11.5703125" bestFit="1" customWidth="1"/>
    <col min="5" max="5" width="12.5703125" customWidth="1"/>
    <col min="6" max="6" width="12.5703125" bestFit="1" customWidth="1"/>
    <col min="7" max="7" width="1.42578125" customWidth="1"/>
    <col min="8" max="8" width="11.5703125" bestFit="1" customWidth="1"/>
    <col min="9" max="9" width="12.5703125" customWidth="1"/>
    <col min="10" max="10" width="12.7109375" bestFit="1" customWidth="1"/>
    <col min="11" max="11" width="1.42578125" customWidth="1"/>
    <col min="12" max="12" width="11.5703125" bestFit="1" customWidth="1"/>
    <col min="13" max="13" width="12.5703125" customWidth="1"/>
    <col min="14" max="14" width="12.7109375" bestFit="1" customWidth="1"/>
    <col min="15" max="15" width="1.42578125" customWidth="1"/>
    <col min="16" max="16" width="11.5703125" bestFit="1" customWidth="1"/>
    <col min="17" max="17" width="12.5703125" customWidth="1"/>
    <col min="18" max="18" width="12.7109375" bestFit="1" customWidth="1"/>
    <col min="19" max="19" width="1.42578125" customWidth="1"/>
    <col min="20" max="20" width="8.7109375" bestFit="1" customWidth="1"/>
    <col min="21" max="21" width="15" bestFit="1" customWidth="1"/>
    <col min="22" max="22" width="25.42578125" bestFit="1" customWidth="1"/>
    <col min="23" max="23" width="19" bestFit="1" customWidth="1"/>
    <col min="24" max="24" width="25.42578125" bestFit="1" customWidth="1"/>
    <col min="25" max="25" width="10.5703125" bestFit="1" customWidth="1"/>
    <col min="26" max="26" width="25.42578125" bestFit="1" customWidth="1"/>
    <col min="27" max="27" width="22.5703125" bestFit="1" customWidth="1"/>
    <col min="28" max="28" width="25.42578125" bestFit="1" customWidth="1"/>
    <col min="29" max="29" width="1.42578125" customWidth="1"/>
    <col min="30" max="30" width="8.7109375" bestFit="1" customWidth="1"/>
    <col min="31" max="31" width="12.85546875" bestFit="1" customWidth="1"/>
    <col min="32" max="32" width="11.42578125" style="33" bestFit="1" customWidth="1"/>
    <col min="33" max="33" width="13.5703125" bestFit="1" customWidth="1"/>
    <col min="34" max="34" width="7.7109375" customWidth="1"/>
    <col min="35" max="35" width="10.140625" style="15" bestFit="1" customWidth="1"/>
    <col min="36" max="36" width="12.85546875" style="15" bestFit="1" customWidth="1"/>
    <col min="37" max="37" width="11.140625" style="15" bestFit="1" customWidth="1"/>
    <col min="38" max="38" width="1.42578125" customWidth="1"/>
    <col min="39" max="39" width="10.140625" bestFit="1" customWidth="1"/>
    <col min="40" max="40" width="23.5703125" bestFit="1" customWidth="1"/>
    <col min="41" max="41" width="33.7109375" bestFit="1" customWidth="1"/>
    <col min="42" max="42" width="22.140625" bestFit="1" customWidth="1"/>
    <col min="43" max="43" width="20" bestFit="1" customWidth="1"/>
    <col min="44" max="44" width="20" customWidth="1"/>
    <col min="45" max="45" width="24.5703125" customWidth="1"/>
    <col min="46" max="46" width="1.42578125" customWidth="1"/>
    <col min="47" max="47" width="90.85546875" customWidth="1"/>
    <col min="48" max="50" width="20.5703125" customWidth="1"/>
    <col min="51" max="51" width="8.42578125" bestFit="1" customWidth="1"/>
    <col min="52" max="52" width="23.85546875" customWidth="1"/>
    <col min="53" max="53" width="24.140625" bestFit="1" customWidth="1"/>
    <col min="54" max="54" width="24.42578125" bestFit="1" customWidth="1"/>
  </cols>
  <sheetData>
    <row r="1" spans="1:54" ht="15.75" thickBot="1" x14ac:dyDescent="0.3">
      <c r="D1" s="42" t="s">
        <v>208</v>
      </c>
      <c r="E1" s="42"/>
      <c r="F1" s="42"/>
      <c r="G1" s="10"/>
      <c r="H1" s="42" t="s">
        <v>209</v>
      </c>
      <c r="I1" s="42"/>
      <c r="J1" s="42"/>
      <c r="K1" s="10"/>
      <c r="L1" s="43" t="s">
        <v>210</v>
      </c>
      <c r="M1" s="43"/>
      <c r="N1" s="43"/>
      <c r="O1" s="10"/>
      <c r="P1" s="44" t="s">
        <v>211</v>
      </c>
      <c r="Q1" s="44"/>
      <c r="R1" s="44"/>
      <c r="S1" s="10"/>
      <c r="T1" s="22"/>
      <c r="U1" s="23"/>
      <c r="V1" s="45" t="s">
        <v>212</v>
      </c>
      <c r="W1" s="45"/>
      <c r="X1" s="45"/>
      <c r="Y1" s="10"/>
      <c r="Z1" s="46" t="s">
        <v>213</v>
      </c>
      <c r="AA1" s="47"/>
      <c r="AB1" s="47"/>
      <c r="AC1" s="10"/>
      <c r="AD1" s="48" t="s">
        <v>214</v>
      </c>
      <c r="AE1" s="48"/>
      <c r="AF1" s="48"/>
      <c r="AG1" s="48"/>
      <c r="AH1" s="10"/>
      <c r="AI1" s="48" t="s">
        <v>215</v>
      </c>
      <c r="AJ1" s="48"/>
      <c r="AK1" s="48"/>
      <c r="AL1" s="10"/>
      <c r="AM1" s="48" t="s">
        <v>216</v>
      </c>
      <c r="AN1" s="48"/>
      <c r="AO1" s="48"/>
      <c r="AP1" s="48"/>
      <c r="AQ1" s="48"/>
      <c r="AR1" s="15" t="s">
        <v>217</v>
      </c>
      <c r="AS1" s="15" t="s">
        <v>218</v>
      </c>
      <c r="AT1" s="30"/>
      <c r="AU1" s="40">
        <f>Days!F10</f>
        <v>45582</v>
      </c>
      <c r="AV1" s="42" t="s">
        <v>219</v>
      </c>
      <c r="AW1" s="42"/>
      <c r="AX1" s="42"/>
      <c r="AZ1" s="46" t="s">
        <v>220</v>
      </c>
      <c r="BA1" s="47"/>
      <c r="BB1" s="47"/>
    </row>
    <row r="2" spans="1:54" ht="15.75" thickTop="1" x14ac:dyDescent="0.25">
      <c r="A2" s="5" t="s">
        <v>16</v>
      </c>
      <c r="B2" s="5" t="s">
        <v>15</v>
      </c>
      <c r="C2" s="5" t="s">
        <v>221</v>
      </c>
      <c r="D2" s="10" t="s">
        <v>222</v>
      </c>
      <c r="E2" s="10" t="s">
        <v>223</v>
      </c>
      <c r="F2" s="10" t="s">
        <v>224</v>
      </c>
      <c r="G2" s="27"/>
      <c r="H2" s="10" t="s">
        <v>222</v>
      </c>
      <c r="I2" s="10" t="s">
        <v>223</v>
      </c>
      <c r="J2" s="10" t="s">
        <v>224</v>
      </c>
      <c r="K2" s="27"/>
      <c r="L2" s="10" t="s">
        <v>222</v>
      </c>
      <c r="M2" s="10" t="s">
        <v>223</v>
      </c>
      <c r="N2" s="10" t="s">
        <v>224</v>
      </c>
      <c r="O2" s="27"/>
      <c r="P2" s="10" t="s">
        <v>222</v>
      </c>
      <c r="Q2" s="10" t="s">
        <v>223</v>
      </c>
      <c r="R2" s="10" t="s">
        <v>224</v>
      </c>
      <c r="S2" s="27"/>
      <c r="T2" s="5" t="s">
        <v>15</v>
      </c>
      <c r="U2" s="5" t="s">
        <v>221</v>
      </c>
      <c r="V2" t="s">
        <v>204</v>
      </c>
      <c r="W2" s="10" t="s">
        <v>206</v>
      </c>
      <c r="X2" s="10" t="s">
        <v>225</v>
      </c>
      <c r="Y2" s="27" t="s">
        <v>226</v>
      </c>
      <c r="Z2" t="s">
        <v>204</v>
      </c>
      <c r="AA2" s="10" t="s">
        <v>206</v>
      </c>
      <c r="AB2" s="10" t="s">
        <v>225</v>
      </c>
      <c r="AC2" s="27"/>
      <c r="AD2" s="5" t="s">
        <v>15</v>
      </c>
      <c r="AE2" s="10" t="s">
        <v>227</v>
      </c>
      <c r="AF2" s="27" t="s">
        <v>228</v>
      </c>
      <c r="AG2" s="10" t="s">
        <v>229</v>
      </c>
      <c r="AH2" s="27"/>
      <c r="AI2" s="6" t="s">
        <v>15</v>
      </c>
      <c r="AJ2" s="10" t="s">
        <v>227</v>
      </c>
      <c r="AK2" s="10" t="s">
        <v>228</v>
      </c>
      <c r="AL2" s="27"/>
      <c r="AM2" s="6" t="s">
        <v>15</v>
      </c>
      <c r="AN2" s="10" t="s">
        <v>230</v>
      </c>
      <c r="AO2" s="10" t="s">
        <v>231</v>
      </c>
      <c r="AP2" s="10" t="s">
        <v>232</v>
      </c>
      <c r="AQ2" s="10" t="s">
        <v>20</v>
      </c>
      <c r="AR2" s="10" t="s">
        <v>233</v>
      </c>
      <c r="AS2" s="10" t="s">
        <v>234</v>
      </c>
      <c r="AT2" s="27"/>
      <c r="AU2" t="s">
        <v>235</v>
      </c>
      <c r="AV2" s="10" t="s">
        <v>222</v>
      </c>
      <c r="AW2" s="10" t="s">
        <v>223</v>
      </c>
      <c r="AX2" s="10" t="s">
        <v>224</v>
      </c>
      <c r="AY2" s="5" t="s">
        <v>15</v>
      </c>
      <c r="AZ2" t="s">
        <v>204</v>
      </c>
      <c r="BA2" s="10" t="s">
        <v>206</v>
      </c>
      <c r="BB2" s="10" t="s">
        <v>225</v>
      </c>
    </row>
    <row r="3" spans="1:54" x14ac:dyDescent="0.25">
      <c r="A3" s="6" t="str">
        <f>VLOOKUP(WEEKDAY(B3,2),Days!$A$1:$B$7,2,0)</f>
        <v>Fri</v>
      </c>
      <c r="B3" s="7">
        <v>45555</v>
      </c>
      <c r="C3" s="6">
        <f>IF(AND(A3&lt;&gt;"Sat",A3&lt;&gt;"Sun",ISERROR(VLOOKUP(B3,Days!$A$10:$A$38,1,0))),1,(IF(AF3&lt;&gt;0,1,0)))</f>
        <v>1</v>
      </c>
      <c r="D3" s="10">
        <v>1</v>
      </c>
      <c r="E3" s="10">
        <v>1</v>
      </c>
      <c r="F3" s="10">
        <v>0</v>
      </c>
      <c r="G3" s="27"/>
      <c r="H3" s="10">
        <v>1</v>
      </c>
      <c r="I3" s="10">
        <v>1</v>
      </c>
      <c r="J3" s="10">
        <v>0</v>
      </c>
      <c r="K3" s="27"/>
      <c r="L3">
        <f>$C3*H3*Days!$F$1</f>
        <v>8</v>
      </c>
      <c r="M3">
        <f>$C3*I3*Days!$F$1</f>
        <v>8</v>
      </c>
      <c r="N3">
        <f>$C3*J3*Days!$F$1</f>
        <v>0</v>
      </c>
      <c r="O3" s="27"/>
      <c r="P3">
        <f t="shared" ref="P3:P34" ca="1" si="0">IF(B3&gt;TODAY(),0,V3-L3)</f>
        <v>2</v>
      </c>
      <c r="Q3">
        <f t="shared" ref="Q3:Q34" ca="1" si="1">IF(B3&gt;TODAY(),0,W3-M3)</f>
        <v>0</v>
      </c>
      <c r="R3">
        <f t="shared" ref="R3:R34" ca="1" si="2">IF(B3&gt;TODAY(),0,X3-N3)</f>
        <v>0</v>
      </c>
      <c r="S3" s="27"/>
      <c r="T3" s="7">
        <f t="shared" ref="T3:T34" si="3">B3</f>
        <v>45555</v>
      </c>
      <c r="U3" s="6">
        <f t="shared" ref="U3:U34" si="4">C3</f>
        <v>1</v>
      </c>
      <c r="V3">
        <f>COUNTIFS('2024 - L&amp;G R64 - Test Instances'!H:H,B3,'2024 - L&amp;G R64 - Test Instances'!L:L,$V$2,'2024 - L&amp;G R64 - Test Instances'!O:O,"Done")</f>
        <v>10</v>
      </c>
      <c r="W3">
        <f>COUNTIFS('2024 - L&amp;G R64 - Test Instances'!H:H,B3,'2024 - L&amp;G R64 - Test Instances'!L:L,$W$2,'2024 - L&amp;G R64 - Test Instances'!O:O,"Done")</f>
        <v>8</v>
      </c>
      <c r="X3">
        <f>COUNTIFS('2024 - L&amp;G R64 - Test Instances'!H:H,B3,'2024 - L&amp;G R64 - Test Instances'!L:L,$X$2,'2024 - L&amp;G R64 - Test Instances'!O:O,"Done")</f>
        <v>0</v>
      </c>
      <c r="Y3" s="27">
        <v>8</v>
      </c>
      <c r="Z3" s="29">
        <f ca="1">IF(B3&gt;TODAY(),"",SUM($V$3:V3)/SUM($D$3:D3))</f>
        <v>10</v>
      </c>
      <c r="AA3" s="29">
        <f ca="1">IF(B3&gt;TODAY(),"",SUM($W$3:W3)/SUM($E$3:E3))</f>
        <v>8</v>
      </c>
      <c r="AB3" s="29" t="e">
        <f ca="1">IF(B3&gt;TODAY(),"",SUM($X$3:X3)/SUM($F$3:F3))</f>
        <v>#DIV/0!</v>
      </c>
      <c r="AC3" s="27"/>
      <c r="AD3" s="7">
        <f t="shared" ref="AD3:AD34" si="5">B3</f>
        <v>45555</v>
      </c>
      <c r="AE3" s="29">
        <f t="shared" ref="AE3:AE34" si="6">SUM(L3:N3)</f>
        <v>16</v>
      </c>
      <c r="AF3" s="37">
        <f t="shared" ref="AF3:AF34" si="7">SUM(V3:W3)</f>
        <v>18</v>
      </c>
      <c r="AG3" s="29">
        <f t="shared" ref="AG3:AG34" ca="1" si="8">SUMIF(Z3:AA3,"&lt;&gt;#DIV/0!",Z3:AA3)</f>
        <v>18</v>
      </c>
      <c r="AH3" s="27"/>
      <c r="AI3" s="7">
        <f t="shared" ref="AI3:AI34" si="9">B3</f>
        <v>45555</v>
      </c>
      <c r="AJ3" s="26">
        <f>Days!F2</f>
        <v>274</v>
      </c>
      <c r="AK3" s="26">
        <f>Days!F3</f>
        <v>361</v>
      </c>
      <c r="AL3" s="27"/>
      <c r="AM3" s="11">
        <f t="shared" ref="AM3:AM34" si="10">B3</f>
        <v>45555</v>
      </c>
      <c r="AN3" s="32"/>
      <c r="AO3" s="33"/>
      <c r="AP3">
        <f t="shared" ref="AP3:AP34" si="11">IF(ISERROR(AF3/SUM(D3:F3)),0,AF3/SUM(D3:F3))</f>
        <v>9</v>
      </c>
      <c r="AR3" s="29">
        <f>AK3/(NETWORKDAYS(B3,$AU$1,Days!$A$11:$A$25)-1)</f>
        <v>20.055555555555557</v>
      </c>
      <c r="AS3" s="29">
        <f>AR3/((RIGHT($AR$1,1)*1))</f>
        <v>10.027777777777779</v>
      </c>
      <c r="AT3" s="27"/>
      <c r="AU3" s="26"/>
      <c r="AV3" s="10">
        <f t="shared" ref="AV3:AV34" si="12">IF(V3&gt;0,1,0)</f>
        <v>1</v>
      </c>
      <c r="AW3" s="10">
        <f t="shared" ref="AW3:AW34" si="13">IF(W3&gt;0,1,0)</f>
        <v>1</v>
      </c>
      <c r="AX3" s="10">
        <f t="shared" ref="AX3:AX34" si="14">IF(X3&gt;0,1,0)</f>
        <v>0</v>
      </c>
      <c r="AY3" s="7">
        <f t="shared" ref="AY3:AY34" si="15">B3</f>
        <v>45555</v>
      </c>
      <c r="AZ3">
        <f ca="1">IF(B3&gt;TODAY(),"",SUM($V$3:V3)/SUM($AV$3:AV3))</f>
        <v>10</v>
      </c>
      <c r="BA3">
        <f ca="1">IF(B3&gt;TODAY(),"",SUM($W$3:W3)/SUM($AW$3:AW3))</f>
        <v>8</v>
      </c>
      <c r="BB3" t="e">
        <f ca="1">IF(B3&gt;TODAY(),"",SUM($X$3:X3)/SUM($AX$3:AX3))</f>
        <v>#DIV/0!</v>
      </c>
    </row>
    <row r="4" spans="1:54" x14ac:dyDescent="0.25">
      <c r="A4" s="6" t="str">
        <f>VLOOKUP(WEEKDAY(B4,2),Days!$A$1:$B$7,2,0)</f>
        <v>Sat</v>
      </c>
      <c r="B4" s="7">
        <f>B3+1</f>
        <v>45556</v>
      </c>
      <c r="C4" s="6">
        <f>IF(AND(A4&lt;&gt;"Sat",A4&lt;&gt;"Sun",ISERROR(VLOOKUP(B4,Days!$A$10:$A$38,1,0))),1,(IF(AF4&lt;&gt;0,1,0)))</f>
        <v>0</v>
      </c>
      <c r="D4" s="10">
        <v>0</v>
      </c>
      <c r="E4" s="10">
        <v>0</v>
      </c>
      <c r="F4" s="10">
        <v>0</v>
      </c>
      <c r="G4" s="27"/>
      <c r="H4" s="10">
        <v>0</v>
      </c>
      <c r="I4" s="10">
        <v>0</v>
      </c>
      <c r="J4" s="10">
        <v>0</v>
      </c>
      <c r="K4" s="27"/>
      <c r="L4">
        <f>$C4*H4*Days!$F$1</f>
        <v>0</v>
      </c>
      <c r="M4">
        <f>$C4*I4*Days!$F$1</f>
        <v>0</v>
      </c>
      <c r="N4">
        <f>$C4*J4*Days!$F$1</f>
        <v>0</v>
      </c>
      <c r="O4" s="27"/>
      <c r="P4">
        <f t="shared" ca="1" si="0"/>
        <v>0</v>
      </c>
      <c r="Q4">
        <f t="shared" ca="1" si="1"/>
        <v>0</v>
      </c>
      <c r="R4">
        <f t="shared" ca="1" si="2"/>
        <v>0</v>
      </c>
      <c r="S4" s="27"/>
      <c r="T4" s="7">
        <f t="shared" si="3"/>
        <v>45556</v>
      </c>
      <c r="U4" s="6">
        <f t="shared" si="4"/>
        <v>0</v>
      </c>
      <c r="V4">
        <f>COUNTIFS('2024 - L&amp;G R64 - Test Instances'!H:H,B4,'2024 - L&amp;G R64 - Test Instances'!L:L,$V$2,'2024 - L&amp;G R64 - Test Instances'!O:O,"Done")</f>
        <v>0</v>
      </c>
      <c r="W4">
        <f>COUNTIFS('2024 - L&amp;G R64 - Test Instances'!H:H,B4,'2024 - L&amp;G R64 - Test Instances'!L:L,$W$2,'2024 - L&amp;G R64 - Test Instances'!O:O,"Done")</f>
        <v>0</v>
      </c>
      <c r="X4">
        <f>COUNTIFS('2024 - L&amp;G R64 - Test Instances'!H:H,B4,'2024 - L&amp;G R64 - Test Instances'!L:L,$X$2,'2024 - L&amp;G R64 - Test Instances'!O:O,"Done")</f>
        <v>0</v>
      </c>
      <c r="Y4" s="27">
        <v>8</v>
      </c>
      <c r="Z4" s="29">
        <f ca="1">IF(B4&gt;TODAY(),"",SUM($V$3:V4)/SUM($D$3:D4))</f>
        <v>10</v>
      </c>
      <c r="AA4" s="29">
        <f ca="1">IF(B4&gt;TODAY(),"",SUM($W$3:W4)/SUM($E$3:E4))</f>
        <v>8</v>
      </c>
      <c r="AB4" s="29" t="e">
        <f ca="1">IF(B4&gt;TODAY(),"",SUM($X$3:X4)/SUM($F$3:F4))</f>
        <v>#DIV/0!</v>
      </c>
      <c r="AC4" s="27"/>
      <c r="AD4" s="7">
        <f t="shared" si="5"/>
        <v>45556</v>
      </c>
      <c r="AE4" s="29">
        <f t="shared" si="6"/>
        <v>0</v>
      </c>
      <c r="AF4" s="37">
        <f t="shared" si="7"/>
        <v>0</v>
      </c>
      <c r="AG4" s="29">
        <f t="shared" ca="1" si="8"/>
        <v>18</v>
      </c>
      <c r="AH4" s="27"/>
      <c r="AI4" s="7">
        <f t="shared" si="9"/>
        <v>45556</v>
      </c>
      <c r="AJ4" s="15">
        <f>AJ3-AE4</f>
        <v>274</v>
      </c>
      <c r="AK4" s="15">
        <f t="shared" ref="AK4:AK35" ca="1" si="16">IF(B4&gt;TODAY(),"",AK3-AF4)</f>
        <v>361</v>
      </c>
      <c r="AL4" s="27"/>
      <c r="AM4" s="11">
        <f t="shared" si="10"/>
        <v>45556</v>
      </c>
      <c r="AN4" s="32"/>
      <c r="AO4" s="33"/>
      <c r="AP4">
        <f t="shared" si="11"/>
        <v>0</v>
      </c>
      <c r="AR4" s="29">
        <f ca="1">AK4/(NETWORKDAYS(B4,$AU$1,Days!$A$11:$A$25)-1)</f>
        <v>21.235294117647058</v>
      </c>
      <c r="AS4" s="29">
        <f t="shared" ref="AS4:AS67" ca="1" si="17">AR4/((RIGHT($AR$1,1)*1))</f>
        <v>10.617647058823529</v>
      </c>
      <c r="AT4" s="27"/>
      <c r="AV4" s="10">
        <f t="shared" si="12"/>
        <v>0</v>
      </c>
      <c r="AW4" s="10">
        <f t="shared" si="13"/>
        <v>0</v>
      </c>
      <c r="AX4" s="10">
        <f t="shared" si="14"/>
        <v>0</v>
      </c>
      <c r="AY4" s="7">
        <f t="shared" si="15"/>
        <v>45556</v>
      </c>
      <c r="AZ4">
        <f ca="1">IF(B4&gt;TODAY(),"",SUM($V$3:V4)/SUM($AV$3:AV4))</f>
        <v>10</v>
      </c>
      <c r="BA4">
        <f ca="1">IF(B4&gt;TODAY(),"",SUM($W$3:W4)/SUM($AW$3:AW4))</f>
        <v>8</v>
      </c>
      <c r="BB4" t="e">
        <f ca="1">IF(B4&gt;TODAY(),"",SUM($X$3:X4)/SUM($AX$3:AX4))</f>
        <v>#DIV/0!</v>
      </c>
    </row>
    <row r="5" spans="1:54" x14ac:dyDescent="0.25">
      <c r="A5" s="6" t="str">
        <f>VLOOKUP(WEEKDAY(B5,2),Days!$A$1:$B$7,2,0)</f>
        <v>Sun</v>
      </c>
      <c r="B5" s="7">
        <f t="shared" ref="B5:B68" si="18">B4+1</f>
        <v>45557</v>
      </c>
      <c r="C5" s="6">
        <f>IF(AND(A5&lt;&gt;"Sat",A5&lt;&gt;"Sun",ISERROR(VLOOKUP(B5,Days!$A$10:$A$38,1,0))),1,(IF(AF5&lt;&gt;0,1,0)))</f>
        <v>0</v>
      </c>
      <c r="D5" s="10">
        <v>0</v>
      </c>
      <c r="E5" s="10">
        <v>0</v>
      </c>
      <c r="F5" s="10">
        <v>0</v>
      </c>
      <c r="G5" s="27"/>
      <c r="H5" s="10">
        <v>0</v>
      </c>
      <c r="I5" s="10">
        <v>0</v>
      </c>
      <c r="J5" s="10">
        <v>0</v>
      </c>
      <c r="K5" s="27"/>
      <c r="L5">
        <f>$C5*H5*Days!$F$1</f>
        <v>0</v>
      </c>
      <c r="M5">
        <f>$C5*I5*Days!$F$1</f>
        <v>0</v>
      </c>
      <c r="N5">
        <f>$C5*J5*Days!$F$1</f>
        <v>0</v>
      </c>
      <c r="O5" s="27"/>
      <c r="P5">
        <f t="shared" ca="1" si="0"/>
        <v>0</v>
      </c>
      <c r="Q5">
        <f t="shared" ca="1" si="1"/>
        <v>0</v>
      </c>
      <c r="R5">
        <f t="shared" ca="1" si="2"/>
        <v>0</v>
      </c>
      <c r="S5" s="27"/>
      <c r="T5" s="7">
        <f t="shared" si="3"/>
        <v>45557</v>
      </c>
      <c r="U5" s="6">
        <f t="shared" si="4"/>
        <v>0</v>
      </c>
      <c r="V5">
        <f>COUNTIFS('2024 - L&amp;G R64 - Test Instances'!H:H,B5,'2024 - L&amp;G R64 - Test Instances'!L:L,$V$2,'2024 - L&amp;G R64 - Test Instances'!O:O,"Done")</f>
        <v>0</v>
      </c>
      <c r="W5">
        <f>COUNTIFS('2024 - L&amp;G R64 - Test Instances'!H:H,B5,'2024 - L&amp;G R64 - Test Instances'!L:L,$W$2,'2024 - L&amp;G R64 - Test Instances'!O:O,"Done")</f>
        <v>0</v>
      </c>
      <c r="X5">
        <f>COUNTIFS('2024 - L&amp;G R64 - Test Instances'!H:H,B5,'2024 - L&amp;G R64 - Test Instances'!L:L,$X$2,'2024 - L&amp;G R64 - Test Instances'!O:O,"Done")</f>
        <v>0</v>
      </c>
      <c r="Y5" s="27">
        <v>8</v>
      </c>
      <c r="Z5" s="29">
        <f ca="1">IF(B5&gt;TODAY(),"",SUM($V$3:V5)/SUM($D$3:D5))</f>
        <v>10</v>
      </c>
      <c r="AA5" s="29">
        <f ca="1">IF(B5&gt;TODAY(),"",SUM($W$3:W5)/SUM($E$3:E5))</f>
        <v>8</v>
      </c>
      <c r="AB5" s="29" t="e">
        <f ca="1">IF(B5&gt;TODAY(),"",SUM($X$3:X5)/SUM($F$3:F5))</f>
        <v>#DIV/0!</v>
      </c>
      <c r="AC5" s="27"/>
      <c r="AD5" s="7">
        <f t="shared" si="5"/>
        <v>45557</v>
      </c>
      <c r="AE5" s="29">
        <f t="shared" si="6"/>
        <v>0</v>
      </c>
      <c r="AF5" s="37">
        <f t="shared" si="7"/>
        <v>0</v>
      </c>
      <c r="AG5" s="29">
        <f t="shared" ca="1" si="8"/>
        <v>18</v>
      </c>
      <c r="AH5" s="27"/>
      <c r="AI5" s="7">
        <f t="shared" si="9"/>
        <v>45557</v>
      </c>
      <c r="AJ5" s="15">
        <f t="shared" ref="AJ5:AJ68" si="19">AJ4-AE5</f>
        <v>274</v>
      </c>
      <c r="AK5" s="15">
        <f t="shared" ca="1" si="16"/>
        <v>361</v>
      </c>
      <c r="AL5" s="27"/>
      <c r="AM5" s="11">
        <f t="shared" si="10"/>
        <v>45557</v>
      </c>
      <c r="AN5" s="32"/>
      <c r="AO5" s="33"/>
      <c r="AP5">
        <f t="shared" si="11"/>
        <v>0</v>
      </c>
      <c r="AR5" s="29">
        <f ca="1">AK5/(NETWORKDAYS(B5,$AU$1,Days!$A$11:$A$25)-1)</f>
        <v>21.235294117647058</v>
      </c>
      <c r="AS5" s="29">
        <f t="shared" ca="1" si="17"/>
        <v>10.617647058823529</v>
      </c>
      <c r="AT5" s="27"/>
      <c r="AV5" s="10">
        <f t="shared" si="12"/>
        <v>0</v>
      </c>
      <c r="AW5" s="10">
        <f t="shared" si="13"/>
        <v>0</v>
      </c>
      <c r="AX5" s="10">
        <f t="shared" si="14"/>
        <v>0</v>
      </c>
      <c r="AY5" s="7">
        <f t="shared" si="15"/>
        <v>45557</v>
      </c>
      <c r="AZ5">
        <f ca="1">IF(B5&gt;TODAY(),"",SUM($V$3:V5)/SUM($AV$3:AV5))</f>
        <v>10</v>
      </c>
      <c r="BA5">
        <f ca="1">IF(B5&gt;TODAY(),"",SUM($W$3:W5)/SUM($AW$3:AW5))</f>
        <v>8</v>
      </c>
      <c r="BB5" t="e">
        <f ca="1">IF(B5&gt;TODAY(),"",SUM($X$3:X5)/SUM($AX$3:AX5))</f>
        <v>#DIV/0!</v>
      </c>
    </row>
    <row r="6" spans="1:54" x14ac:dyDescent="0.25">
      <c r="A6" s="6" t="str">
        <f>VLOOKUP(WEEKDAY(B6,2),Days!$A$1:$B$7,2,0)</f>
        <v>Mon</v>
      </c>
      <c r="B6" s="7">
        <f t="shared" si="18"/>
        <v>45558</v>
      </c>
      <c r="C6" s="6">
        <f>IF(AND(A6&lt;&gt;"Sat",A6&lt;&gt;"Sun",ISERROR(VLOOKUP(B6,Days!$A$10:$A$38,1,0))),1,(IF(AF6&lt;&gt;0,1,0)))</f>
        <v>1</v>
      </c>
      <c r="D6" s="10">
        <v>1</v>
      </c>
      <c r="E6" s="10">
        <v>1</v>
      </c>
      <c r="F6" s="10">
        <v>0</v>
      </c>
      <c r="G6" s="27"/>
      <c r="H6" s="10">
        <v>1</v>
      </c>
      <c r="I6" s="10">
        <v>1</v>
      </c>
      <c r="J6" s="10">
        <v>0</v>
      </c>
      <c r="K6" s="27"/>
      <c r="L6">
        <f>$C6*H6*Days!$F$1</f>
        <v>8</v>
      </c>
      <c r="M6">
        <f>$C6*I6*Days!$F$1</f>
        <v>8</v>
      </c>
      <c r="N6">
        <f>$C6*J6*Days!$F$1</f>
        <v>0</v>
      </c>
      <c r="O6" s="27"/>
      <c r="P6">
        <f t="shared" ca="1" si="0"/>
        <v>-6</v>
      </c>
      <c r="Q6">
        <f t="shared" ca="1" si="1"/>
        <v>-8</v>
      </c>
      <c r="R6">
        <f t="shared" ca="1" si="2"/>
        <v>0</v>
      </c>
      <c r="S6" s="27"/>
      <c r="T6" s="7">
        <f t="shared" si="3"/>
        <v>45558</v>
      </c>
      <c r="U6" s="6">
        <f t="shared" si="4"/>
        <v>1</v>
      </c>
      <c r="V6">
        <f>COUNTIFS('2024 - L&amp;G R64 - Test Instances'!H:H,B6,'2024 - L&amp;G R64 - Test Instances'!L:L,$V$2,'2024 - L&amp;G R64 - Test Instances'!O:O,"Done")</f>
        <v>2</v>
      </c>
      <c r="W6">
        <f>COUNTIFS('2024 - L&amp;G R64 - Test Instances'!H:H,B6,'2024 - L&amp;G R64 - Test Instances'!L:L,$W$2,'2024 - L&amp;G R64 - Test Instances'!O:O,"Done")</f>
        <v>0</v>
      </c>
      <c r="X6">
        <f>COUNTIFS('2024 - L&amp;G R64 - Test Instances'!H:H,B6,'2024 - L&amp;G R64 - Test Instances'!L:L,$X$2,'2024 - L&amp;G R64 - Test Instances'!O:O,"Done")</f>
        <v>0</v>
      </c>
      <c r="Y6" s="27">
        <v>8</v>
      </c>
      <c r="Z6" s="29">
        <f ca="1">IF(B6&gt;TODAY(),"",SUM($V$3:V6)/SUM($D$3:D6))</f>
        <v>6</v>
      </c>
      <c r="AA6" s="29">
        <f ca="1">IF(B6&gt;TODAY(),"",SUM($W$3:W6)/SUM($E$3:E6))</f>
        <v>4</v>
      </c>
      <c r="AB6" s="29" t="e">
        <f ca="1">IF(B6&gt;TODAY(),"",SUM($X$3:X6)/SUM($F$3:F6))</f>
        <v>#DIV/0!</v>
      </c>
      <c r="AC6" s="27"/>
      <c r="AD6" s="7">
        <f t="shared" si="5"/>
        <v>45558</v>
      </c>
      <c r="AE6" s="29">
        <f t="shared" si="6"/>
        <v>16</v>
      </c>
      <c r="AF6" s="37">
        <f t="shared" si="7"/>
        <v>2</v>
      </c>
      <c r="AG6" s="29">
        <f t="shared" ca="1" si="8"/>
        <v>10</v>
      </c>
      <c r="AH6" s="27"/>
      <c r="AI6" s="7">
        <f t="shared" si="9"/>
        <v>45558</v>
      </c>
      <c r="AJ6" s="15">
        <f t="shared" si="19"/>
        <v>258</v>
      </c>
      <c r="AK6" s="15">
        <f t="shared" ca="1" si="16"/>
        <v>359</v>
      </c>
      <c r="AL6" s="27"/>
      <c r="AM6" s="11">
        <f t="shared" si="10"/>
        <v>45558</v>
      </c>
      <c r="AN6" s="32"/>
      <c r="AO6" s="33"/>
      <c r="AP6">
        <f t="shared" si="11"/>
        <v>1</v>
      </c>
      <c r="AR6" s="29">
        <f ca="1">AK6/(NETWORKDAYS(B6,$AU$1,Days!$A$11:$A$25)-1)</f>
        <v>21.117647058823529</v>
      </c>
      <c r="AS6" s="29">
        <f t="shared" ca="1" si="17"/>
        <v>10.558823529411764</v>
      </c>
      <c r="AT6" s="27"/>
      <c r="AV6" s="10">
        <f t="shared" si="12"/>
        <v>1</v>
      </c>
      <c r="AW6" s="10">
        <f t="shared" si="13"/>
        <v>0</v>
      </c>
      <c r="AX6" s="10">
        <f t="shared" si="14"/>
        <v>0</v>
      </c>
      <c r="AY6" s="7">
        <f t="shared" si="15"/>
        <v>45558</v>
      </c>
      <c r="AZ6">
        <f ca="1">IF(B6&gt;TODAY(),"",SUM($V$3:V6)/SUM($AV$3:AV6))</f>
        <v>6</v>
      </c>
      <c r="BA6">
        <f ca="1">IF(B6&gt;TODAY(),"",SUM($W$3:W6)/SUM($AW$3:AW6))</f>
        <v>8</v>
      </c>
      <c r="BB6" t="e">
        <f ca="1">IF(B6&gt;TODAY(),"",SUM($X$3:X6)/SUM($AX$3:AX6))</f>
        <v>#DIV/0!</v>
      </c>
    </row>
    <row r="7" spans="1:54" x14ac:dyDescent="0.25">
      <c r="A7" s="6" t="str">
        <f>VLOOKUP(WEEKDAY(B7,2),Days!$A$1:$B$7,2,0)</f>
        <v>Tue</v>
      </c>
      <c r="B7" s="7">
        <f t="shared" si="18"/>
        <v>45559</v>
      </c>
      <c r="C7" s="6">
        <f>IF(AND(A7&lt;&gt;"Sat",A7&lt;&gt;"Sun",ISERROR(VLOOKUP(B7,Days!$A$10:$A$38,1,0))),1,(IF(AF7&lt;&gt;0,1,0)))</f>
        <v>1</v>
      </c>
      <c r="D7" s="10">
        <v>1</v>
      </c>
      <c r="E7" s="10">
        <v>1</v>
      </c>
      <c r="F7" s="10">
        <v>0</v>
      </c>
      <c r="G7" s="27"/>
      <c r="H7" s="10">
        <v>1</v>
      </c>
      <c r="I7" s="10">
        <v>1</v>
      </c>
      <c r="J7" s="10">
        <v>0</v>
      </c>
      <c r="K7" s="27"/>
      <c r="L7">
        <f>$C7*H7*Days!$F$1</f>
        <v>8</v>
      </c>
      <c r="M7">
        <f>$C7*I7*Days!$F$1</f>
        <v>8</v>
      </c>
      <c r="N7">
        <f>$C7*J7*Days!$F$1</f>
        <v>0</v>
      </c>
      <c r="O7" s="27"/>
      <c r="P7">
        <f t="shared" ca="1" si="0"/>
        <v>-3</v>
      </c>
      <c r="Q7">
        <f t="shared" ca="1" si="1"/>
        <v>84</v>
      </c>
      <c r="R7">
        <f t="shared" ca="1" si="2"/>
        <v>0</v>
      </c>
      <c r="S7" s="27"/>
      <c r="T7" s="7">
        <f t="shared" si="3"/>
        <v>45559</v>
      </c>
      <c r="U7" s="6">
        <f t="shared" si="4"/>
        <v>1</v>
      </c>
      <c r="V7">
        <f>COUNTIFS('2024 - L&amp;G R64 - Test Instances'!H:H,B7,'2024 - L&amp;G R64 - Test Instances'!L:L,$V$2,'2024 - L&amp;G R64 - Test Instances'!O:O,"Done")</f>
        <v>5</v>
      </c>
      <c r="W7">
        <f>COUNTIFS('2024 - L&amp;G R64 - Test Instances'!H:H,B7,'2024 - L&amp;G R64 - Test Instances'!L:L,$W$2,'2024 - L&amp;G R64 - Test Instances'!O:O,"Done")</f>
        <v>92</v>
      </c>
      <c r="X7">
        <f>COUNTIFS('2024 - L&amp;G R64 - Test Instances'!H:H,B7,'2024 - L&amp;G R64 - Test Instances'!L:L,$X$2,'2024 - L&amp;G R64 - Test Instances'!O:O,"Done")</f>
        <v>0</v>
      </c>
      <c r="Y7" s="27">
        <v>8</v>
      </c>
      <c r="Z7" s="29">
        <f ca="1">IF(B7&gt;TODAY(),"",SUM($V$3:V7)/SUM($D$3:D7))</f>
        <v>5.666666666666667</v>
      </c>
      <c r="AA7" s="29">
        <f ca="1">IF(B7&gt;TODAY(),"",SUM($W$3:W7)/SUM($E$3:E7))</f>
        <v>33.333333333333336</v>
      </c>
      <c r="AB7" s="29" t="e">
        <f ca="1">IF(B7&gt;TODAY(),"",SUM($X$3:X7)/SUM($F$3:F7))</f>
        <v>#DIV/0!</v>
      </c>
      <c r="AC7" s="27"/>
      <c r="AD7" s="7">
        <f t="shared" si="5"/>
        <v>45559</v>
      </c>
      <c r="AE7" s="29">
        <f t="shared" si="6"/>
        <v>16</v>
      </c>
      <c r="AF7" s="37">
        <f t="shared" si="7"/>
        <v>97</v>
      </c>
      <c r="AG7" s="29">
        <f t="shared" ca="1" si="8"/>
        <v>39</v>
      </c>
      <c r="AH7" s="27"/>
      <c r="AI7" s="7">
        <f t="shared" si="9"/>
        <v>45559</v>
      </c>
      <c r="AJ7" s="15">
        <f t="shared" si="19"/>
        <v>242</v>
      </c>
      <c r="AK7" s="15">
        <f t="shared" ca="1" si="16"/>
        <v>262</v>
      </c>
      <c r="AL7" s="27"/>
      <c r="AM7" s="11">
        <f t="shared" si="10"/>
        <v>45559</v>
      </c>
      <c r="AN7" s="28">
        <f t="shared" ref="AN7:AN38" ca="1" si="20">IF(B7&gt;TODAY(),0,SUM(AF3:AF7)/SUM(C3:C7))</f>
        <v>39</v>
      </c>
      <c r="AO7" s="28">
        <f t="shared" ref="AO7:AO38" ca="1" si="21">IF(B7&gt;TODAY(),0,SUM(AF3:AF7)/SUM(D3:F7))</f>
        <v>19.5</v>
      </c>
      <c r="AP7">
        <f t="shared" si="11"/>
        <v>48.5</v>
      </c>
      <c r="AQ7" s="11">
        <f t="shared" ref="AQ7:AQ21" ca="1" si="22">IF(ISERROR(B7+(AK7/AN7)*(7/5)),AQ6,(B7+(AK7/AN7)*(7/5)))</f>
        <v>45568.40512820513</v>
      </c>
      <c r="AR7" s="29">
        <f ca="1">AK7/(NETWORKDAYS(B7,$AU$1,Days!$A$11:$A$25)-1)</f>
        <v>16.375</v>
      </c>
      <c r="AS7" s="29">
        <f t="shared" ca="1" si="17"/>
        <v>8.1875</v>
      </c>
      <c r="AT7" s="27"/>
      <c r="AV7" s="10">
        <f t="shared" si="12"/>
        <v>1</v>
      </c>
      <c r="AW7" s="10">
        <f t="shared" si="13"/>
        <v>1</v>
      </c>
      <c r="AX7" s="10">
        <f t="shared" si="14"/>
        <v>0</v>
      </c>
      <c r="AY7" s="7">
        <f t="shared" si="15"/>
        <v>45559</v>
      </c>
      <c r="AZ7">
        <f ca="1">IF(B7&gt;TODAY(),"",SUM($V$3:V7)/SUM($AV$3:AV7))</f>
        <v>5.666666666666667</v>
      </c>
      <c r="BA7">
        <f ca="1">IF(B7&gt;TODAY(),"",SUM($W$3:W7)/SUM($AW$3:AW7))</f>
        <v>50</v>
      </c>
      <c r="BB7" t="e">
        <f ca="1">IF(B7&gt;TODAY(),"",SUM($X$3:X7)/SUM($AX$3:AX7))</f>
        <v>#DIV/0!</v>
      </c>
    </row>
    <row r="8" spans="1:54" x14ac:dyDescent="0.25">
      <c r="A8" s="6" t="str">
        <f>VLOOKUP(WEEKDAY(B8,2),Days!$A$1:$B$7,2,0)</f>
        <v>Wed</v>
      </c>
      <c r="B8" s="7">
        <f t="shared" si="18"/>
        <v>45560</v>
      </c>
      <c r="C8" s="6">
        <f>IF(AND(A8&lt;&gt;"Sat",A8&lt;&gt;"Sun",ISERROR(VLOOKUP(B8,Days!$A$10:$A$38,1,0))),1,(IF(AF8&lt;&gt;0,1,0)))</f>
        <v>1</v>
      </c>
      <c r="D8" s="10">
        <v>0</v>
      </c>
      <c r="E8" s="10">
        <v>1</v>
      </c>
      <c r="F8" s="10">
        <v>0</v>
      </c>
      <c r="G8" s="27"/>
      <c r="H8" s="10">
        <v>1</v>
      </c>
      <c r="I8" s="10">
        <v>1</v>
      </c>
      <c r="J8" s="10">
        <v>0</v>
      </c>
      <c r="K8" s="27"/>
      <c r="L8">
        <f>$C8*H8*Days!$F$1</f>
        <v>8</v>
      </c>
      <c r="M8">
        <f>$C8*I8*Days!$F$1</f>
        <v>8</v>
      </c>
      <c r="N8">
        <f>$C8*J8*Days!$F$1</f>
        <v>0</v>
      </c>
      <c r="O8" s="27"/>
      <c r="P8">
        <f t="shared" ca="1" si="0"/>
        <v>-8</v>
      </c>
      <c r="Q8">
        <f t="shared" ca="1" si="1"/>
        <v>6</v>
      </c>
      <c r="R8">
        <f t="shared" ca="1" si="2"/>
        <v>0</v>
      </c>
      <c r="S8" s="27"/>
      <c r="T8" s="7">
        <f t="shared" si="3"/>
        <v>45560</v>
      </c>
      <c r="U8" s="6">
        <f t="shared" si="4"/>
        <v>1</v>
      </c>
      <c r="V8">
        <f>COUNTIFS('2024 - L&amp;G R64 - Test Instances'!H:H,B8,'2024 - L&amp;G R64 - Test Instances'!L:L,$V$2,'2024 - L&amp;G R64 - Test Instances'!O:O,"Done")</f>
        <v>0</v>
      </c>
      <c r="W8">
        <f>COUNTIFS('2024 - L&amp;G R64 - Test Instances'!H:H,B8,'2024 - L&amp;G R64 - Test Instances'!L:L,$W$2,'2024 - L&amp;G R64 - Test Instances'!O:O,"Done")</f>
        <v>14</v>
      </c>
      <c r="X8">
        <f>COUNTIFS('2024 - L&amp;G R64 - Test Instances'!H:H,B8,'2024 - L&amp;G R64 - Test Instances'!L:L,$X$2,'2024 - L&amp;G R64 - Test Instances'!O:O,"Done")</f>
        <v>0</v>
      </c>
      <c r="Y8" s="27">
        <v>8</v>
      </c>
      <c r="Z8" s="29">
        <f ca="1">IF(B8&gt;TODAY(),"",SUM($V$3:V8)/SUM($D$3:D8))</f>
        <v>5.666666666666667</v>
      </c>
      <c r="AA8" s="29">
        <f ca="1">IF(B8&gt;TODAY(),"",SUM($W$3:W8)/SUM($E$3:E8))</f>
        <v>28.5</v>
      </c>
      <c r="AB8" s="29" t="e">
        <f ca="1">IF(B8&gt;TODAY(),"",SUM($X$3:X8)/SUM($F$3:F8))</f>
        <v>#DIV/0!</v>
      </c>
      <c r="AC8" s="27"/>
      <c r="AD8" s="7">
        <f t="shared" si="5"/>
        <v>45560</v>
      </c>
      <c r="AE8" s="29">
        <f t="shared" si="6"/>
        <v>16</v>
      </c>
      <c r="AF8" s="37">
        <f t="shared" si="7"/>
        <v>14</v>
      </c>
      <c r="AG8" s="29">
        <f t="shared" ca="1" si="8"/>
        <v>34.166666666666664</v>
      </c>
      <c r="AH8" s="27"/>
      <c r="AI8" s="7">
        <f t="shared" si="9"/>
        <v>45560</v>
      </c>
      <c r="AJ8" s="15">
        <f t="shared" si="19"/>
        <v>226</v>
      </c>
      <c r="AK8" s="15">
        <f t="shared" ca="1" si="16"/>
        <v>248</v>
      </c>
      <c r="AL8" s="27"/>
      <c r="AM8" s="11">
        <f t="shared" si="10"/>
        <v>45560</v>
      </c>
      <c r="AN8" s="28">
        <f t="shared" ca="1" si="20"/>
        <v>37.666666666666664</v>
      </c>
      <c r="AO8" s="28">
        <f t="shared" ca="1" si="21"/>
        <v>22.6</v>
      </c>
      <c r="AP8">
        <f t="shared" si="11"/>
        <v>14</v>
      </c>
      <c r="AQ8" s="11">
        <f t="shared" ca="1" si="22"/>
        <v>45569.217699115041</v>
      </c>
      <c r="AR8" s="29">
        <f ca="1">AK8/(NETWORKDAYS(B8,$AU$1,Days!$A$11:$A$25)-1)</f>
        <v>16.533333333333335</v>
      </c>
      <c r="AS8" s="29">
        <f t="shared" ca="1" si="17"/>
        <v>8.2666666666666675</v>
      </c>
      <c r="AT8" s="27"/>
      <c r="AV8" s="10">
        <f t="shared" si="12"/>
        <v>0</v>
      </c>
      <c r="AW8" s="10">
        <f t="shared" si="13"/>
        <v>1</v>
      </c>
      <c r="AX8" s="10">
        <f t="shared" si="14"/>
        <v>0</v>
      </c>
      <c r="AY8" s="7">
        <f t="shared" si="15"/>
        <v>45560</v>
      </c>
      <c r="AZ8">
        <f ca="1">IF(B8&gt;TODAY(),"",SUM($V$3:V8)/SUM($AV$3:AV8))</f>
        <v>5.666666666666667</v>
      </c>
      <c r="BA8">
        <f ca="1">IF(B8&gt;TODAY(),"",SUM($W$3:W8)/SUM($AW$3:AW8))</f>
        <v>38</v>
      </c>
      <c r="BB8" t="e">
        <f ca="1">IF(B8&gt;TODAY(),"",SUM($X$3:X8)/SUM($AX$3:AX8))</f>
        <v>#DIV/0!</v>
      </c>
    </row>
    <row r="9" spans="1:54" x14ac:dyDescent="0.25">
      <c r="A9" s="6" t="str">
        <f>VLOOKUP(WEEKDAY(B9,2),Days!$A$1:$B$7,2,0)</f>
        <v>Thu</v>
      </c>
      <c r="B9" s="7">
        <f t="shared" si="18"/>
        <v>45561</v>
      </c>
      <c r="C9" s="6">
        <f>IF(AND(A9&lt;&gt;"Sat",A9&lt;&gt;"Sun",ISERROR(VLOOKUP(B9,Days!$A$10:$A$38,1,0))),1,(IF(AF9&lt;&gt;0,1,0)))</f>
        <v>1</v>
      </c>
      <c r="D9" s="10">
        <v>1</v>
      </c>
      <c r="E9" s="10">
        <v>1</v>
      </c>
      <c r="F9" s="10">
        <v>0</v>
      </c>
      <c r="G9" s="27"/>
      <c r="H9" s="10">
        <v>1</v>
      </c>
      <c r="I9" s="10">
        <v>1</v>
      </c>
      <c r="J9" s="10">
        <v>0</v>
      </c>
      <c r="K9" s="27"/>
      <c r="L9">
        <f>$C9*H9*Days!$F$1</f>
        <v>8</v>
      </c>
      <c r="M9">
        <f>$C9*I9*Days!$F$1</f>
        <v>8</v>
      </c>
      <c r="N9">
        <f>$C9*J9*Days!$F$1</f>
        <v>0</v>
      </c>
      <c r="O9" s="27"/>
      <c r="P9">
        <f t="shared" ca="1" si="0"/>
        <v>0</v>
      </c>
      <c r="Q9">
        <f t="shared" ca="1" si="1"/>
        <v>-3</v>
      </c>
      <c r="R9">
        <f t="shared" ca="1" si="2"/>
        <v>0</v>
      </c>
      <c r="S9" s="27"/>
      <c r="T9" s="7">
        <f t="shared" si="3"/>
        <v>45561</v>
      </c>
      <c r="U9" s="6">
        <f t="shared" si="4"/>
        <v>1</v>
      </c>
      <c r="V9">
        <f>COUNTIFS('2024 - L&amp;G R64 - Test Instances'!H:H,B9,'2024 - L&amp;G R64 - Test Instances'!L:L,$V$2,'2024 - L&amp;G R64 - Test Instances'!O:O,"Done")</f>
        <v>8</v>
      </c>
      <c r="W9">
        <f>COUNTIFS('2024 - L&amp;G R64 - Test Instances'!H:H,B9,'2024 - L&amp;G R64 - Test Instances'!L:L,$W$2,'2024 - L&amp;G R64 - Test Instances'!O:O,"Done")</f>
        <v>5</v>
      </c>
      <c r="X9">
        <f>COUNTIFS('2024 - L&amp;G R64 - Test Instances'!H:H,B9,'2024 - L&amp;G R64 - Test Instances'!L:L,$X$2,'2024 - L&amp;G R64 - Test Instances'!O:O,"Done")</f>
        <v>0</v>
      </c>
      <c r="Y9" s="27">
        <v>8</v>
      </c>
      <c r="Z9" s="29">
        <f ca="1">IF(B9&gt;TODAY(),"",SUM($V$3:V9)/SUM($D$3:D9))</f>
        <v>6.25</v>
      </c>
      <c r="AA9" s="29">
        <f ca="1">IF(B9&gt;TODAY(),"",SUM($W$3:W9)/SUM($E$3:E9))</f>
        <v>23.8</v>
      </c>
      <c r="AB9" s="29" t="e">
        <f ca="1">IF(B9&gt;TODAY(),"",SUM($X$3:X9)/SUM($F$3:F9))</f>
        <v>#DIV/0!</v>
      </c>
      <c r="AC9" s="27"/>
      <c r="AD9" s="7">
        <f t="shared" si="5"/>
        <v>45561</v>
      </c>
      <c r="AE9" s="29">
        <f t="shared" si="6"/>
        <v>16</v>
      </c>
      <c r="AF9" s="37">
        <f t="shared" si="7"/>
        <v>13</v>
      </c>
      <c r="AG9" s="29">
        <f t="shared" ca="1" si="8"/>
        <v>30.05</v>
      </c>
      <c r="AH9" s="27"/>
      <c r="AI9" s="7">
        <f t="shared" si="9"/>
        <v>45561</v>
      </c>
      <c r="AJ9" s="15">
        <f t="shared" si="19"/>
        <v>210</v>
      </c>
      <c r="AK9" s="15">
        <f t="shared" ca="1" si="16"/>
        <v>235</v>
      </c>
      <c r="AL9" s="27"/>
      <c r="AM9" s="11">
        <f t="shared" si="10"/>
        <v>45561</v>
      </c>
      <c r="AN9" s="28">
        <f t="shared" ca="1" si="20"/>
        <v>31.5</v>
      </c>
      <c r="AO9" s="28">
        <f t="shared" ca="1" si="21"/>
        <v>18</v>
      </c>
      <c r="AP9">
        <f t="shared" si="11"/>
        <v>6.5</v>
      </c>
      <c r="AQ9" s="11">
        <f t="shared" ca="1" si="22"/>
        <v>45571.444444444445</v>
      </c>
      <c r="AR9" s="29">
        <f ca="1">AK9/(NETWORKDAYS(B9,$AU$1,Days!$A$11:$A$25)-1)</f>
        <v>16.785714285714285</v>
      </c>
      <c r="AS9" s="29">
        <f t="shared" ca="1" si="17"/>
        <v>8.3928571428571423</v>
      </c>
      <c r="AT9" s="27"/>
      <c r="AV9" s="10">
        <f t="shared" si="12"/>
        <v>1</v>
      </c>
      <c r="AW9" s="10">
        <f t="shared" si="13"/>
        <v>1</v>
      </c>
      <c r="AX9" s="10">
        <f t="shared" si="14"/>
        <v>0</v>
      </c>
      <c r="AY9" s="7">
        <f t="shared" si="15"/>
        <v>45561</v>
      </c>
      <c r="AZ9">
        <f ca="1">IF(B9&gt;TODAY(),"",SUM($V$3:V9)/SUM($AV$3:AV9))</f>
        <v>6.25</v>
      </c>
      <c r="BA9">
        <f ca="1">IF(B9&gt;TODAY(),"",SUM($W$3:W9)/SUM($AW$3:AW9))</f>
        <v>29.75</v>
      </c>
      <c r="BB9" t="e">
        <f ca="1">IF(B9&gt;TODAY(),"",SUM($X$3:X9)/SUM($AX$3:AX9))</f>
        <v>#DIV/0!</v>
      </c>
    </row>
    <row r="10" spans="1:54" x14ac:dyDescent="0.25">
      <c r="A10" s="6" t="str">
        <f>VLOOKUP(WEEKDAY(B10,2),Days!$A$1:$B$7,2,0)</f>
        <v>Fri</v>
      </c>
      <c r="B10" s="7">
        <f t="shared" si="18"/>
        <v>45562</v>
      </c>
      <c r="C10" s="6">
        <f>IF(AND(A10&lt;&gt;"Sat",A10&lt;&gt;"Sun",ISERROR(VLOOKUP(B10,Days!$A$10:$A$38,1,0))),1,(IF(AF10&lt;&gt;0,1,0)))</f>
        <v>0</v>
      </c>
      <c r="D10" s="10">
        <v>0</v>
      </c>
      <c r="E10" s="10">
        <v>0</v>
      </c>
      <c r="F10" s="10">
        <v>0</v>
      </c>
      <c r="G10" s="27"/>
      <c r="H10" s="10">
        <v>1</v>
      </c>
      <c r="I10" s="10">
        <v>1</v>
      </c>
      <c r="J10" s="10">
        <v>0</v>
      </c>
      <c r="K10" s="27"/>
      <c r="L10">
        <f>$C10*H10*Days!$F$1</f>
        <v>0</v>
      </c>
      <c r="M10">
        <f>$C10*I10*Days!$F$1</f>
        <v>0</v>
      </c>
      <c r="N10">
        <f>$C10*J10*Days!$F$1</f>
        <v>0</v>
      </c>
      <c r="O10" s="27"/>
      <c r="P10">
        <f t="shared" ca="1" si="0"/>
        <v>0</v>
      </c>
      <c r="Q10">
        <f t="shared" ca="1" si="1"/>
        <v>0</v>
      </c>
      <c r="R10">
        <f t="shared" ca="1" si="2"/>
        <v>0</v>
      </c>
      <c r="S10" s="27"/>
      <c r="T10" s="7">
        <f t="shared" si="3"/>
        <v>45562</v>
      </c>
      <c r="U10" s="6">
        <f t="shared" si="4"/>
        <v>0</v>
      </c>
      <c r="V10">
        <f>COUNTIFS('2024 - L&amp;G R64 - Test Instances'!H:H,B10,'2024 - L&amp;G R64 - Test Instances'!L:L,$V$2,'2024 - L&amp;G R64 - Test Instances'!O:O,"Done")</f>
        <v>0</v>
      </c>
      <c r="W10">
        <f>COUNTIFS('2024 - L&amp;G R64 - Test Instances'!H:H,B10,'2024 - L&amp;G R64 - Test Instances'!L:L,$W$2,'2024 - L&amp;G R64 - Test Instances'!O:O,"Done")</f>
        <v>0</v>
      </c>
      <c r="X10">
        <f>COUNTIFS('2024 - L&amp;G R64 - Test Instances'!H:H,B10,'2024 - L&amp;G R64 - Test Instances'!L:L,$X$2,'2024 - L&amp;G R64 - Test Instances'!O:O,"Done")</f>
        <v>0</v>
      </c>
      <c r="Y10" s="27">
        <v>8</v>
      </c>
      <c r="Z10" s="29">
        <f ca="1">IF(B10&gt;TODAY(),"",SUM($V$3:V10)/SUM($D$3:D10))</f>
        <v>6.25</v>
      </c>
      <c r="AA10" s="29">
        <f ca="1">IF(B10&gt;TODAY(),"",SUM($W$3:W10)/SUM($E$3:E10))</f>
        <v>23.8</v>
      </c>
      <c r="AB10" s="29" t="e">
        <f ca="1">IF(B10&gt;TODAY(),"",SUM($X$3:X10)/SUM($F$3:F10))</f>
        <v>#DIV/0!</v>
      </c>
      <c r="AC10" s="27"/>
      <c r="AD10" s="7">
        <f t="shared" si="5"/>
        <v>45562</v>
      </c>
      <c r="AE10" s="29">
        <f t="shared" si="6"/>
        <v>0</v>
      </c>
      <c r="AF10" s="37">
        <f t="shared" si="7"/>
        <v>0</v>
      </c>
      <c r="AG10" s="29">
        <f t="shared" ca="1" si="8"/>
        <v>30.05</v>
      </c>
      <c r="AH10" s="27"/>
      <c r="AI10" s="7">
        <f t="shared" si="9"/>
        <v>45562</v>
      </c>
      <c r="AJ10" s="15">
        <f t="shared" si="19"/>
        <v>210</v>
      </c>
      <c r="AK10" s="15">
        <f t="shared" ca="1" si="16"/>
        <v>235</v>
      </c>
      <c r="AL10" s="27"/>
      <c r="AM10" s="11">
        <f t="shared" si="10"/>
        <v>45562</v>
      </c>
      <c r="AN10" s="28">
        <f t="shared" ca="1" si="20"/>
        <v>31.5</v>
      </c>
      <c r="AO10" s="28">
        <f t="shared" ca="1" si="21"/>
        <v>18</v>
      </c>
      <c r="AP10">
        <f t="shared" si="11"/>
        <v>0</v>
      </c>
      <c r="AQ10" s="11">
        <f t="shared" ca="1" si="22"/>
        <v>45572.444444444445</v>
      </c>
      <c r="AR10" s="29">
        <f ca="1">AK10/(NETWORKDAYS(B10,$AU$1,Days!$A$11:$A$25)-1)</f>
        <v>18.076923076923077</v>
      </c>
      <c r="AS10" s="29">
        <f t="shared" ca="1" si="17"/>
        <v>9.0384615384615383</v>
      </c>
      <c r="AT10" s="27"/>
      <c r="AV10" s="10">
        <f t="shared" si="12"/>
        <v>0</v>
      </c>
      <c r="AW10" s="10">
        <f t="shared" si="13"/>
        <v>0</v>
      </c>
      <c r="AX10" s="10">
        <f t="shared" si="14"/>
        <v>0</v>
      </c>
      <c r="AY10" s="7">
        <f t="shared" si="15"/>
        <v>45562</v>
      </c>
      <c r="AZ10">
        <f ca="1">IF(B10&gt;TODAY(),"",SUM($V$3:V10)/SUM($AV$3:AV10))</f>
        <v>6.25</v>
      </c>
      <c r="BA10">
        <f ca="1">IF(B10&gt;TODAY(),"",SUM($W$3:W10)/SUM($AW$3:AW10))</f>
        <v>29.75</v>
      </c>
      <c r="BB10" t="e">
        <f ca="1">IF(B10&gt;TODAY(),"",SUM($X$3:X10)/SUM($AX$3:AX10))</f>
        <v>#DIV/0!</v>
      </c>
    </row>
    <row r="11" spans="1:54" x14ac:dyDescent="0.25">
      <c r="A11" s="6" t="str">
        <f>VLOOKUP(WEEKDAY(B11,2),Days!$A$1:$B$7,2,0)</f>
        <v>Sat</v>
      </c>
      <c r="B11" s="7">
        <f t="shared" si="18"/>
        <v>45563</v>
      </c>
      <c r="C11" s="6">
        <f>IF(AND(A11&lt;&gt;"Sat",A11&lt;&gt;"Sun",ISERROR(VLOOKUP(B11,Days!$A$10:$A$38,1,0))),1,(IF(AF11&lt;&gt;0,1,0)))</f>
        <v>0</v>
      </c>
      <c r="D11" s="10">
        <v>0</v>
      </c>
      <c r="E11" s="10">
        <v>0</v>
      </c>
      <c r="F11" s="10">
        <v>0</v>
      </c>
      <c r="G11" s="27"/>
      <c r="H11" s="10">
        <v>0</v>
      </c>
      <c r="I11" s="10">
        <v>0</v>
      </c>
      <c r="J11" s="10">
        <v>0</v>
      </c>
      <c r="K11" s="27"/>
      <c r="L11">
        <f>$C11*H11*Days!$F$1</f>
        <v>0</v>
      </c>
      <c r="M11">
        <f>$C11*I11*Days!$F$1</f>
        <v>0</v>
      </c>
      <c r="N11">
        <f>$C11*J11*Days!$F$1</f>
        <v>0</v>
      </c>
      <c r="O11" s="27"/>
      <c r="P11">
        <f t="shared" ca="1" si="0"/>
        <v>0</v>
      </c>
      <c r="Q11">
        <f t="shared" ca="1" si="1"/>
        <v>0</v>
      </c>
      <c r="R11">
        <f t="shared" ca="1" si="2"/>
        <v>0</v>
      </c>
      <c r="S11" s="27"/>
      <c r="T11" s="7">
        <f t="shared" si="3"/>
        <v>45563</v>
      </c>
      <c r="U11" s="6">
        <f t="shared" si="4"/>
        <v>0</v>
      </c>
      <c r="V11">
        <f>COUNTIFS('2024 - L&amp;G R64 - Test Instances'!H:H,B11,'2024 - L&amp;G R64 - Test Instances'!L:L,$V$2,'2024 - L&amp;G R64 - Test Instances'!O:O,"Done")</f>
        <v>0</v>
      </c>
      <c r="W11">
        <f>COUNTIFS('2024 - L&amp;G R64 - Test Instances'!H:H,B11,'2024 - L&amp;G R64 - Test Instances'!L:L,$W$2,'2024 - L&amp;G R64 - Test Instances'!O:O,"Done")</f>
        <v>0</v>
      </c>
      <c r="X11">
        <f>COUNTIFS('2024 - L&amp;G R64 - Test Instances'!H:H,B11,'2024 - L&amp;G R64 - Test Instances'!L:L,$X$2,'2024 - L&amp;G R64 - Test Instances'!O:O,"Done")</f>
        <v>0</v>
      </c>
      <c r="Y11" s="27">
        <v>8</v>
      </c>
      <c r="Z11" s="29">
        <f ca="1">IF(B11&gt;TODAY(),"",SUM($V$3:V11)/SUM($D$3:D11))</f>
        <v>6.25</v>
      </c>
      <c r="AA11" s="29">
        <f ca="1">IF(B11&gt;TODAY(),"",SUM($W$3:W11)/SUM($E$3:E11))</f>
        <v>23.8</v>
      </c>
      <c r="AB11" s="29" t="e">
        <f ca="1">IF(B11&gt;TODAY(),"",SUM($X$3:X11)/SUM($F$3:F11))</f>
        <v>#DIV/0!</v>
      </c>
      <c r="AC11" s="27"/>
      <c r="AD11" s="7">
        <f t="shared" si="5"/>
        <v>45563</v>
      </c>
      <c r="AE11" s="29">
        <f t="shared" si="6"/>
        <v>0</v>
      </c>
      <c r="AF11" s="37">
        <f t="shared" si="7"/>
        <v>0</v>
      </c>
      <c r="AG11" s="29">
        <f t="shared" ca="1" si="8"/>
        <v>30.05</v>
      </c>
      <c r="AH11" s="27"/>
      <c r="AI11" s="7">
        <f t="shared" si="9"/>
        <v>45563</v>
      </c>
      <c r="AJ11" s="15">
        <f t="shared" si="19"/>
        <v>210</v>
      </c>
      <c r="AK11" s="15">
        <f t="shared" ca="1" si="16"/>
        <v>235</v>
      </c>
      <c r="AL11" s="27"/>
      <c r="AM11" s="11">
        <f t="shared" si="10"/>
        <v>45563</v>
      </c>
      <c r="AN11" s="28">
        <f t="shared" ca="1" si="20"/>
        <v>41.333333333333336</v>
      </c>
      <c r="AO11" s="28">
        <f t="shared" ca="1" si="21"/>
        <v>24.8</v>
      </c>
      <c r="AP11">
        <f t="shared" si="11"/>
        <v>0</v>
      </c>
      <c r="AQ11" s="11">
        <f t="shared" ca="1" si="22"/>
        <v>45570.959677419356</v>
      </c>
      <c r="AR11" s="29">
        <f ca="1">AK11/(NETWORKDAYS(B11,$AU$1,Days!$A$11:$A$25)-1)</f>
        <v>18.076923076923077</v>
      </c>
      <c r="AS11" s="29">
        <f t="shared" ca="1" si="17"/>
        <v>9.0384615384615383</v>
      </c>
      <c r="AT11" s="27"/>
      <c r="AV11" s="10">
        <f t="shared" si="12"/>
        <v>0</v>
      </c>
      <c r="AW11" s="10">
        <f t="shared" si="13"/>
        <v>0</v>
      </c>
      <c r="AX11" s="10">
        <f t="shared" si="14"/>
        <v>0</v>
      </c>
      <c r="AY11" s="7">
        <f t="shared" si="15"/>
        <v>45563</v>
      </c>
      <c r="AZ11">
        <f ca="1">IF(B11&gt;TODAY(),"",SUM($V$3:V11)/SUM($AV$3:AV11))</f>
        <v>6.25</v>
      </c>
      <c r="BA11">
        <f ca="1">IF(B11&gt;TODAY(),"",SUM($W$3:W11)/SUM($AW$3:AW11))</f>
        <v>29.75</v>
      </c>
      <c r="BB11" t="e">
        <f ca="1">IF(B11&gt;TODAY(),"",SUM($X$3:X11)/SUM($AX$3:AX11))</f>
        <v>#DIV/0!</v>
      </c>
    </row>
    <row r="12" spans="1:54" x14ac:dyDescent="0.25">
      <c r="A12" s="6" t="str">
        <f>VLOOKUP(WEEKDAY(B12,2),Days!$A$1:$B$7,2,0)</f>
        <v>Sun</v>
      </c>
      <c r="B12" s="7">
        <f t="shared" si="18"/>
        <v>45564</v>
      </c>
      <c r="C12" s="6">
        <f>IF(AND(A12&lt;&gt;"Sat",A12&lt;&gt;"Sun",ISERROR(VLOOKUP(B12,Days!$A$10:$A$38,1,0))),1,(IF(AF12&lt;&gt;0,1,0)))</f>
        <v>0</v>
      </c>
      <c r="D12" s="10">
        <v>0</v>
      </c>
      <c r="E12" s="10">
        <v>0</v>
      </c>
      <c r="F12" s="10">
        <v>0</v>
      </c>
      <c r="G12" s="27"/>
      <c r="H12" s="10">
        <v>0</v>
      </c>
      <c r="I12" s="10">
        <v>0</v>
      </c>
      <c r="J12" s="10">
        <v>0</v>
      </c>
      <c r="K12" s="27"/>
      <c r="L12">
        <f>$C12*H12*Days!$F$1</f>
        <v>0</v>
      </c>
      <c r="M12">
        <f>$C12*I12*Days!$F$1</f>
        <v>0</v>
      </c>
      <c r="N12">
        <f>$C12*J12*Days!$F$1</f>
        <v>0</v>
      </c>
      <c r="O12" s="27"/>
      <c r="P12">
        <f t="shared" ca="1" si="0"/>
        <v>0</v>
      </c>
      <c r="Q12">
        <f t="shared" ca="1" si="1"/>
        <v>0</v>
      </c>
      <c r="R12">
        <f t="shared" ca="1" si="2"/>
        <v>0</v>
      </c>
      <c r="S12" s="27"/>
      <c r="T12" s="7">
        <f t="shared" si="3"/>
        <v>45564</v>
      </c>
      <c r="U12" s="6">
        <f t="shared" si="4"/>
        <v>0</v>
      </c>
      <c r="V12">
        <f>COUNTIFS('2024 - L&amp;G R64 - Test Instances'!H:H,B12,'2024 - L&amp;G R64 - Test Instances'!L:L,$V$2,'2024 - L&amp;G R64 - Test Instances'!O:O,"Done")</f>
        <v>0</v>
      </c>
      <c r="W12">
        <f>COUNTIFS('2024 - L&amp;G R64 - Test Instances'!H:H,B12,'2024 - L&amp;G R64 - Test Instances'!L:L,$W$2,'2024 - L&amp;G R64 - Test Instances'!O:O,"Done")</f>
        <v>0</v>
      </c>
      <c r="X12">
        <f>COUNTIFS('2024 - L&amp;G R64 - Test Instances'!H:H,B12,'2024 - L&amp;G R64 - Test Instances'!L:L,$X$2,'2024 - L&amp;G R64 - Test Instances'!O:O,"Done")</f>
        <v>0</v>
      </c>
      <c r="Y12" s="27">
        <v>8</v>
      </c>
      <c r="Z12" s="29">
        <f ca="1">IF(B12&gt;TODAY(),"",SUM($V$3:V12)/SUM($D$3:D12))</f>
        <v>6.25</v>
      </c>
      <c r="AA12" s="29">
        <f ca="1">IF(B12&gt;TODAY(),"",SUM($W$3:W12)/SUM($E$3:E12))</f>
        <v>23.8</v>
      </c>
      <c r="AB12" s="29" t="e">
        <f ca="1">IF(B12&gt;TODAY(),"",SUM($X$3:X12)/SUM($F$3:F12))</f>
        <v>#DIV/0!</v>
      </c>
      <c r="AC12" s="27"/>
      <c r="AD12" s="7">
        <f t="shared" si="5"/>
        <v>45564</v>
      </c>
      <c r="AE12" s="29">
        <f t="shared" si="6"/>
        <v>0</v>
      </c>
      <c r="AF12" s="37">
        <f t="shared" si="7"/>
        <v>0</v>
      </c>
      <c r="AG12" s="29">
        <f t="shared" ca="1" si="8"/>
        <v>30.05</v>
      </c>
      <c r="AH12" s="27"/>
      <c r="AI12" s="7">
        <f t="shared" si="9"/>
        <v>45564</v>
      </c>
      <c r="AJ12" s="15">
        <f t="shared" si="19"/>
        <v>210</v>
      </c>
      <c r="AK12" s="15">
        <f t="shared" ca="1" si="16"/>
        <v>235</v>
      </c>
      <c r="AL12" s="27"/>
      <c r="AM12" s="11">
        <f t="shared" si="10"/>
        <v>45564</v>
      </c>
      <c r="AN12" s="28">
        <f t="shared" ca="1" si="20"/>
        <v>13.5</v>
      </c>
      <c r="AO12" s="28">
        <f t="shared" ca="1" si="21"/>
        <v>9</v>
      </c>
      <c r="AP12">
        <f t="shared" si="11"/>
        <v>0</v>
      </c>
      <c r="AQ12" s="11">
        <f t="shared" ca="1" si="22"/>
        <v>45588.370370370372</v>
      </c>
      <c r="AR12" s="29">
        <f ca="1">AK12/(NETWORKDAYS(B12,$AU$1,Days!$A$11:$A$25)-1)</f>
        <v>18.076923076923077</v>
      </c>
      <c r="AS12" s="29">
        <f t="shared" ca="1" si="17"/>
        <v>9.0384615384615383</v>
      </c>
      <c r="AT12" s="27"/>
      <c r="AV12" s="10">
        <f t="shared" si="12"/>
        <v>0</v>
      </c>
      <c r="AW12" s="10">
        <f t="shared" si="13"/>
        <v>0</v>
      </c>
      <c r="AX12" s="10">
        <f t="shared" si="14"/>
        <v>0</v>
      </c>
      <c r="AY12" s="7">
        <f t="shared" si="15"/>
        <v>45564</v>
      </c>
      <c r="AZ12">
        <f ca="1">IF(B12&gt;TODAY(),"",SUM($V$3:V12)/SUM($AV$3:AV12))</f>
        <v>6.25</v>
      </c>
      <c r="BA12">
        <f ca="1">IF(B12&gt;TODAY(),"",SUM($W$3:W12)/SUM($AW$3:AW12))</f>
        <v>29.75</v>
      </c>
      <c r="BB12" t="e">
        <f ca="1">IF(B12&gt;TODAY(),"",SUM($X$3:X12)/SUM($AX$3:AX12))</f>
        <v>#DIV/0!</v>
      </c>
    </row>
    <row r="13" spans="1:54" x14ac:dyDescent="0.25">
      <c r="A13" s="6" t="str">
        <f>VLOOKUP(WEEKDAY(B13,2),Days!$A$1:$B$7,2,0)</f>
        <v>Mon</v>
      </c>
      <c r="B13" s="7">
        <f t="shared" si="18"/>
        <v>45565</v>
      </c>
      <c r="C13" s="6">
        <f>IF(AND(A13&lt;&gt;"Sat",A13&lt;&gt;"Sun",ISERROR(VLOOKUP(B13,Days!$A$10:$A$38,1,0))),1,(IF(AF13&lt;&gt;0,1,0)))</f>
        <v>1</v>
      </c>
      <c r="D13" s="10">
        <v>1</v>
      </c>
      <c r="E13" s="10">
        <v>1</v>
      </c>
      <c r="F13" s="10">
        <v>0</v>
      </c>
      <c r="G13" s="27"/>
      <c r="H13" s="10">
        <v>1</v>
      </c>
      <c r="I13" s="10">
        <v>1</v>
      </c>
      <c r="J13" s="10">
        <v>0</v>
      </c>
      <c r="K13" s="27"/>
      <c r="L13">
        <f>$C13*H13*Days!$F$1</f>
        <v>8</v>
      </c>
      <c r="M13">
        <f>$C13*I13*Days!$F$1</f>
        <v>8</v>
      </c>
      <c r="N13">
        <f>$C13*J13*Days!$F$1</f>
        <v>0</v>
      </c>
      <c r="O13" s="27"/>
      <c r="P13">
        <f t="shared" ca="1" si="0"/>
        <v>6</v>
      </c>
      <c r="Q13">
        <f t="shared" ca="1" si="1"/>
        <v>2</v>
      </c>
      <c r="R13">
        <f t="shared" ca="1" si="2"/>
        <v>0</v>
      </c>
      <c r="S13" s="27"/>
      <c r="T13" s="7">
        <f t="shared" si="3"/>
        <v>45565</v>
      </c>
      <c r="U13" s="6">
        <f t="shared" si="4"/>
        <v>1</v>
      </c>
      <c r="V13">
        <f>COUNTIFS('2024 - L&amp;G R64 - Test Instances'!H:H,B13,'2024 - L&amp;G R64 - Test Instances'!L:L,$V$2,'2024 - L&amp;G R64 - Test Instances'!O:O,"Done")</f>
        <v>14</v>
      </c>
      <c r="W13">
        <f>COUNTIFS('2024 - L&amp;G R64 - Test Instances'!H:H,B13,'2024 - L&amp;G R64 - Test Instances'!L:L,$W$2,'2024 - L&amp;G R64 - Test Instances'!O:O,"Done")</f>
        <v>10</v>
      </c>
      <c r="X13">
        <f>COUNTIFS('2024 - L&amp;G R64 - Test Instances'!H:H,B13,'2024 - L&amp;G R64 - Test Instances'!L:L,$X$2,'2024 - L&amp;G R64 - Test Instances'!O:O,"Done")</f>
        <v>0</v>
      </c>
      <c r="Y13" s="27">
        <v>8</v>
      </c>
      <c r="Z13" s="29">
        <f ca="1">IF(B13&gt;TODAY(),"",SUM($V$3:V13)/SUM($D$3:D13))</f>
        <v>7.8</v>
      </c>
      <c r="AA13" s="29">
        <f ca="1">IF(B13&gt;TODAY(),"",SUM($W$3:W13)/SUM($E$3:E13))</f>
        <v>21.5</v>
      </c>
      <c r="AB13" s="29" t="e">
        <f ca="1">IF(B13&gt;TODAY(),"",SUM($X$3:X13)/SUM($F$3:F13))</f>
        <v>#DIV/0!</v>
      </c>
      <c r="AC13" s="27"/>
      <c r="AD13" s="7">
        <f t="shared" si="5"/>
        <v>45565</v>
      </c>
      <c r="AE13" s="29">
        <f t="shared" si="6"/>
        <v>16</v>
      </c>
      <c r="AF13" s="37">
        <f t="shared" si="7"/>
        <v>24</v>
      </c>
      <c r="AG13" s="29">
        <f t="shared" ca="1" si="8"/>
        <v>29.3</v>
      </c>
      <c r="AH13" s="27"/>
      <c r="AI13" s="7">
        <f t="shared" si="9"/>
        <v>45565</v>
      </c>
      <c r="AJ13" s="15">
        <f t="shared" si="19"/>
        <v>194</v>
      </c>
      <c r="AK13" s="15">
        <f t="shared" ca="1" si="16"/>
        <v>211</v>
      </c>
      <c r="AL13" s="27"/>
      <c r="AM13" s="11">
        <f t="shared" si="10"/>
        <v>45565</v>
      </c>
      <c r="AN13" s="28">
        <f t="shared" ca="1" si="20"/>
        <v>18.5</v>
      </c>
      <c r="AO13" s="28">
        <f t="shared" ca="1" si="21"/>
        <v>9.25</v>
      </c>
      <c r="AP13">
        <f t="shared" si="11"/>
        <v>12</v>
      </c>
      <c r="AQ13" s="11">
        <f t="shared" ca="1" si="22"/>
        <v>45580.967567567568</v>
      </c>
      <c r="AR13" s="29">
        <f ca="1">AK13/(NETWORKDAYS(B13,$AU$1,Days!$A$11:$A$25)-1)</f>
        <v>16.23076923076923</v>
      </c>
      <c r="AS13" s="29">
        <f t="shared" ca="1" si="17"/>
        <v>8.115384615384615</v>
      </c>
      <c r="AT13" s="27"/>
      <c r="AV13" s="10">
        <f t="shared" si="12"/>
        <v>1</v>
      </c>
      <c r="AW13" s="10">
        <f t="shared" si="13"/>
        <v>1</v>
      </c>
      <c r="AX13" s="10">
        <f t="shared" si="14"/>
        <v>0</v>
      </c>
      <c r="AY13" s="7">
        <f t="shared" si="15"/>
        <v>45565</v>
      </c>
      <c r="AZ13">
        <f ca="1">IF(B13&gt;TODAY(),"",SUM($V$3:V13)/SUM($AV$3:AV13))</f>
        <v>7.8</v>
      </c>
      <c r="BA13">
        <f ca="1">IF(B13&gt;TODAY(),"",SUM($W$3:W13)/SUM($AW$3:AW13))</f>
        <v>25.8</v>
      </c>
      <c r="BB13" t="e">
        <f ca="1">IF(B13&gt;TODAY(),"",SUM($X$3:X13)/SUM($AX$3:AX13))</f>
        <v>#DIV/0!</v>
      </c>
    </row>
    <row r="14" spans="1:54" x14ac:dyDescent="0.25">
      <c r="A14" s="6" t="str">
        <f>VLOOKUP(WEEKDAY(B14,2),Days!$A$1:$B$7,2,0)</f>
        <v>Tue</v>
      </c>
      <c r="B14" s="7">
        <f t="shared" si="18"/>
        <v>45566</v>
      </c>
      <c r="C14" s="6">
        <f>IF(AND(A14&lt;&gt;"Sat",A14&lt;&gt;"Sun",ISERROR(VLOOKUP(B14,Days!$A$10:$A$38,1,0))),1,(IF(AF14&lt;&gt;0,1,0)))</f>
        <v>1</v>
      </c>
      <c r="D14" s="10">
        <v>1</v>
      </c>
      <c r="E14" s="10">
        <v>1</v>
      </c>
      <c r="F14" s="10">
        <v>0</v>
      </c>
      <c r="G14" s="27"/>
      <c r="H14" s="10">
        <v>1</v>
      </c>
      <c r="I14" s="10">
        <v>1</v>
      </c>
      <c r="J14" s="10">
        <v>0</v>
      </c>
      <c r="K14" s="27"/>
      <c r="L14">
        <f>$C14*H14*Days!$F$1</f>
        <v>8</v>
      </c>
      <c r="M14">
        <f>$C14*I14*Days!$F$1</f>
        <v>8</v>
      </c>
      <c r="N14">
        <f>$C14*J14*Days!$F$1</f>
        <v>0</v>
      </c>
      <c r="O14" s="27"/>
      <c r="P14">
        <f t="shared" ca="1" si="0"/>
        <v>-5</v>
      </c>
      <c r="Q14">
        <f t="shared" ca="1" si="1"/>
        <v>2</v>
      </c>
      <c r="R14">
        <f t="shared" ca="1" si="2"/>
        <v>0</v>
      </c>
      <c r="S14" s="27"/>
      <c r="T14" s="7">
        <f t="shared" si="3"/>
        <v>45566</v>
      </c>
      <c r="U14" s="6">
        <f t="shared" si="4"/>
        <v>1</v>
      </c>
      <c r="V14">
        <f>COUNTIFS('2024 - L&amp;G R64 - Test Instances'!H:H,B14,'2024 - L&amp;G R64 - Test Instances'!L:L,$V$2,'2024 - L&amp;G R64 - Test Instances'!O:O,"Done")</f>
        <v>3</v>
      </c>
      <c r="W14">
        <f>COUNTIFS('2024 - L&amp;G R64 - Test Instances'!H:H,B14,'2024 - L&amp;G R64 - Test Instances'!L:L,$W$2,'2024 - L&amp;G R64 - Test Instances'!O:O,"Done")</f>
        <v>10</v>
      </c>
      <c r="X14">
        <f>COUNTIFS('2024 - L&amp;G R64 - Test Instances'!H:H,B14,'2024 - L&amp;G R64 - Test Instances'!L:L,$X$2,'2024 - L&amp;G R64 - Test Instances'!O:O,"Done")</f>
        <v>0</v>
      </c>
      <c r="Y14" s="27">
        <v>8</v>
      </c>
      <c r="Z14" s="29">
        <f ca="1">IF(B14&gt;TODAY(),"",SUM($V$3:V14)/SUM($D$3:D14))</f>
        <v>7</v>
      </c>
      <c r="AA14" s="29">
        <f ca="1">IF(B14&gt;TODAY(),"",SUM($W$3:W14)/SUM($E$3:E14))</f>
        <v>19.857142857142858</v>
      </c>
      <c r="AB14" s="29" t="e">
        <f ca="1">IF(B14&gt;TODAY(),"",SUM($X$3:X14)/SUM($F$3:F14))</f>
        <v>#DIV/0!</v>
      </c>
      <c r="AC14" s="27"/>
      <c r="AD14" s="7">
        <f t="shared" si="5"/>
        <v>45566</v>
      </c>
      <c r="AE14" s="29">
        <f t="shared" si="6"/>
        <v>16</v>
      </c>
      <c r="AF14" s="37">
        <f t="shared" si="7"/>
        <v>13</v>
      </c>
      <c r="AG14" s="29">
        <f t="shared" ca="1" si="8"/>
        <v>26.857142857142858</v>
      </c>
      <c r="AH14" s="27"/>
      <c r="AI14" s="7">
        <f t="shared" si="9"/>
        <v>45566</v>
      </c>
      <c r="AJ14" s="15">
        <f t="shared" si="19"/>
        <v>178</v>
      </c>
      <c r="AK14" s="15">
        <f t="shared" ca="1" si="16"/>
        <v>198</v>
      </c>
      <c r="AL14" s="27"/>
      <c r="AM14" s="11">
        <f t="shared" si="10"/>
        <v>45566</v>
      </c>
      <c r="AN14" s="28">
        <f t="shared" ca="1" si="20"/>
        <v>18.5</v>
      </c>
      <c r="AO14" s="28">
        <f t="shared" ca="1" si="21"/>
        <v>9.25</v>
      </c>
      <c r="AP14">
        <f t="shared" si="11"/>
        <v>6.5</v>
      </c>
      <c r="AQ14" s="11">
        <f t="shared" ca="1" si="22"/>
        <v>45580.983783783784</v>
      </c>
      <c r="AR14" s="29">
        <f ca="1">AK14/(NETWORKDAYS(B14,$AU$1,Days!$A$11:$A$25)-1)</f>
        <v>16.5</v>
      </c>
      <c r="AS14" s="29">
        <f t="shared" ca="1" si="17"/>
        <v>8.25</v>
      </c>
      <c r="AT14" s="27"/>
      <c r="AV14" s="10">
        <f t="shared" si="12"/>
        <v>1</v>
      </c>
      <c r="AW14" s="10">
        <f t="shared" si="13"/>
        <v>1</v>
      </c>
      <c r="AX14" s="10">
        <f t="shared" si="14"/>
        <v>0</v>
      </c>
      <c r="AY14" s="7">
        <f t="shared" si="15"/>
        <v>45566</v>
      </c>
      <c r="AZ14">
        <f ca="1">IF(B14&gt;TODAY(),"",SUM($V$3:V14)/SUM($AV$3:AV14))</f>
        <v>7</v>
      </c>
      <c r="BA14">
        <f ca="1">IF(B14&gt;TODAY(),"",SUM($W$3:W14)/SUM($AW$3:AW14))</f>
        <v>23.166666666666668</v>
      </c>
      <c r="BB14" t="e">
        <f ca="1">IF(B14&gt;TODAY(),"",SUM($X$3:X14)/SUM($AX$3:AX14))</f>
        <v>#DIV/0!</v>
      </c>
    </row>
    <row r="15" spans="1:54" x14ac:dyDescent="0.25">
      <c r="A15" s="6" t="str">
        <f>VLOOKUP(WEEKDAY(B15,2),Days!$A$1:$B$7,2,0)</f>
        <v>Wed</v>
      </c>
      <c r="B15" s="7">
        <f t="shared" si="18"/>
        <v>45567</v>
      </c>
      <c r="C15" s="6">
        <f>IF(AND(A15&lt;&gt;"Sat",A15&lt;&gt;"Sun",ISERROR(VLOOKUP(B15,Days!$A$10:$A$38,1,0))),1,(IF(AF15&lt;&gt;0,1,0)))</f>
        <v>1</v>
      </c>
      <c r="D15" s="10">
        <v>0</v>
      </c>
      <c r="E15" s="10">
        <v>1</v>
      </c>
      <c r="F15" s="10">
        <v>0</v>
      </c>
      <c r="G15" s="27"/>
      <c r="H15" s="10">
        <v>1</v>
      </c>
      <c r="I15" s="10">
        <v>1</v>
      </c>
      <c r="J15" s="10">
        <v>0</v>
      </c>
      <c r="K15" s="27"/>
      <c r="L15">
        <f>$C15*H15*Days!$F$1</f>
        <v>8</v>
      </c>
      <c r="M15">
        <f>$C15*I15*Days!$F$1</f>
        <v>8</v>
      </c>
      <c r="N15">
        <f>$C15*J15*Days!$F$1</f>
        <v>0</v>
      </c>
      <c r="O15" s="27"/>
      <c r="P15">
        <f t="shared" ca="1" si="0"/>
        <v>-8</v>
      </c>
      <c r="Q15">
        <f t="shared" ca="1" si="1"/>
        <v>0</v>
      </c>
      <c r="R15">
        <f t="shared" ca="1" si="2"/>
        <v>0</v>
      </c>
      <c r="S15" s="27"/>
      <c r="T15" s="7">
        <f t="shared" si="3"/>
        <v>45567</v>
      </c>
      <c r="U15" s="6">
        <f t="shared" si="4"/>
        <v>1</v>
      </c>
      <c r="V15">
        <f>COUNTIFS('2024 - L&amp;G R64 - Test Instances'!H:H,B15,'2024 - L&amp;G R64 - Test Instances'!L:L,$V$2,'2024 - L&amp;G R64 - Test Instances'!O:O,"Done")</f>
        <v>0</v>
      </c>
      <c r="W15">
        <f>COUNTIFS('2024 - L&amp;G R64 - Test Instances'!H:H,B15,'2024 - L&amp;G R64 - Test Instances'!L:L,$W$2,'2024 - L&amp;G R64 - Test Instances'!O:O,"Done")</f>
        <v>8</v>
      </c>
      <c r="X15">
        <f>COUNTIFS('2024 - L&amp;G R64 - Test Instances'!H:H,B15,'2024 - L&amp;G R64 - Test Instances'!L:L,$X$2,'2024 - L&amp;G R64 - Test Instances'!O:O,"Done")</f>
        <v>0</v>
      </c>
      <c r="Y15" s="27">
        <v>8</v>
      </c>
      <c r="Z15" s="29">
        <f ca="1">IF(B15&gt;TODAY(),"",SUM($V$3:V15)/SUM($D$3:D15))</f>
        <v>7</v>
      </c>
      <c r="AA15" s="29">
        <f ca="1">IF(B15&gt;TODAY(),"",SUM($W$3:W15)/SUM($E$3:E15))</f>
        <v>18.375</v>
      </c>
      <c r="AB15" s="29" t="e">
        <f ca="1">IF(B15&gt;TODAY(),"",SUM($X$3:X15)/SUM($F$3:F15))</f>
        <v>#DIV/0!</v>
      </c>
      <c r="AC15" s="27"/>
      <c r="AD15" s="7">
        <f t="shared" si="5"/>
        <v>45567</v>
      </c>
      <c r="AE15" s="29">
        <f t="shared" si="6"/>
        <v>16</v>
      </c>
      <c r="AF15" s="37">
        <f t="shared" si="7"/>
        <v>8</v>
      </c>
      <c r="AG15" s="29">
        <f t="shared" ca="1" si="8"/>
        <v>25.375</v>
      </c>
      <c r="AH15" s="27"/>
      <c r="AI15" s="7">
        <f t="shared" si="9"/>
        <v>45567</v>
      </c>
      <c r="AJ15" s="15">
        <f t="shared" si="19"/>
        <v>162</v>
      </c>
      <c r="AK15" s="15">
        <f t="shared" ca="1" si="16"/>
        <v>190</v>
      </c>
      <c r="AL15" s="27"/>
      <c r="AM15" s="11">
        <f t="shared" si="10"/>
        <v>45567</v>
      </c>
      <c r="AN15" s="28">
        <f t="shared" ca="1" si="20"/>
        <v>15</v>
      </c>
      <c r="AO15" s="28">
        <f t="shared" ca="1" si="21"/>
        <v>9</v>
      </c>
      <c r="AP15">
        <f t="shared" si="11"/>
        <v>8</v>
      </c>
      <c r="AQ15" s="11">
        <f t="shared" ca="1" si="22"/>
        <v>45584.73333333333</v>
      </c>
      <c r="AR15" s="29">
        <f ca="1">AK15/(NETWORKDAYS(B15,$AU$1,Days!$A$11:$A$25)-1)</f>
        <v>17.272727272727273</v>
      </c>
      <c r="AS15" s="29">
        <f t="shared" ca="1" si="17"/>
        <v>8.6363636363636367</v>
      </c>
      <c r="AT15" s="27"/>
      <c r="AV15" s="10">
        <f t="shared" si="12"/>
        <v>0</v>
      </c>
      <c r="AW15" s="10">
        <f t="shared" si="13"/>
        <v>1</v>
      </c>
      <c r="AX15" s="10">
        <f t="shared" si="14"/>
        <v>0</v>
      </c>
      <c r="AY15" s="7">
        <f t="shared" si="15"/>
        <v>45567</v>
      </c>
      <c r="AZ15">
        <f ca="1">IF(B15&gt;TODAY(),"",SUM($V$3:V15)/SUM($AV$3:AV15))</f>
        <v>7</v>
      </c>
      <c r="BA15">
        <f ca="1">IF(B15&gt;TODAY(),"",SUM($W$3:W15)/SUM($AW$3:AW15))</f>
        <v>21</v>
      </c>
      <c r="BB15" t="e">
        <f ca="1">IF(B15&gt;TODAY(),"",SUM($X$3:X15)/SUM($AX$3:AX15))</f>
        <v>#DIV/0!</v>
      </c>
    </row>
    <row r="16" spans="1:54" x14ac:dyDescent="0.25">
      <c r="A16" s="6" t="str">
        <f>VLOOKUP(WEEKDAY(B16,2),Days!$A$1:$B$7,2,0)</f>
        <v>Thu</v>
      </c>
      <c r="B16" s="7">
        <f t="shared" si="18"/>
        <v>45568</v>
      </c>
      <c r="C16" s="6">
        <f>IF(AND(A16&lt;&gt;"Sat",A16&lt;&gt;"Sun",ISERROR(VLOOKUP(B16,Days!$A$10:$A$38,1,0))),1,(IF(AF16&lt;&gt;0,1,0)))</f>
        <v>1</v>
      </c>
      <c r="D16" s="10">
        <v>1</v>
      </c>
      <c r="E16" s="10">
        <v>1</v>
      </c>
      <c r="F16" s="10">
        <v>0</v>
      </c>
      <c r="G16" s="27"/>
      <c r="H16" s="10">
        <v>1</v>
      </c>
      <c r="I16" s="10">
        <v>1</v>
      </c>
      <c r="J16" s="10">
        <v>0</v>
      </c>
      <c r="K16" s="27"/>
      <c r="L16">
        <f>$C16*H16*Days!$F$1</f>
        <v>8</v>
      </c>
      <c r="M16">
        <f>$C16*I16*Days!$F$1</f>
        <v>8</v>
      </c>
      <c r="N16">
        <f>$C16*J16*Days!$F$1</f>
        <v>0</v>
      </c>
      <c r="O16" s="27"/>
      <c r="P16">
        <f t="shared" ca="1" si="0"/>
        <v>0</v>
      </c>
      <c r="Q16">
        <f t="shared" ca="1" si="1"/>
        <v>-4</v>
      </c>
      <c r="R16">
        <f t="shared" ca="1" si="2"/>
        <v>0</v>
      </c>
      <c r="S16" s="27"/>
      <c r="T16" s="7">
        <f t="shared" si="3"/>
        <v>45568</v>
      </c>
      <c r="U16" s="6">
        <f t="shared" si="4"/>
        <v>1</v>
      </c>
      <c r="V16">
        <f>COUNTIFS('2024 - L&amp;G R64 - Test Instances'!H:H,B16,'2024 - L&amp;G R64 - Test Instances'!L:L,$V$2,'2024 - L&amp;G R64 - Test Instances'!O:O,"Done")</f>
        <v>8</v>
      </c>
      <c r="W16">
        <f>COUNTIFS('2024 - L&amp;G R64 - Test Instances'!H:H,B16,'2024 - L&amp;G R64 - Test Instances'!L:L,$W$2,'2024 - L&amp;G R64 - Test Instances'!O:O,"Done")</f>
        <v>4</v>
      </c>
      <c r="X16">
        <f>COUNTIFS('2024 - L&amp;G R64 - Test Instances'!H:H,B16,'2024 - L&amp;G R64 - Test Instances'!L:L,$X$2,'2024 - L&amp;G R64 - Test Instances'!O:O,"Done")</f>
        <v>0</v>
      </c>
      <c r="Y16" s="27">
        <v>8</v>
      </c>
      <c r="Z16" s="29">
        <f ca="1">IF(B16&gt;TODAY(),"",SUM($V$3:V16)/SUM($D$3:D16))</f>
        <v>7.1428571428571432</v>
      </c>
      <c r="AA16" s="29">
        <f ca="1">IF(B16&gt;TODAY(),"",SUM($W$3:W16)/SUM($E$3:E16))</f>
        <v>16.777777777777779</v>
      </c>
      <c r="AB16" s="29" t="e">
        <f ca="1">IF(B16&gt;TODAY(),"",SUM($X$3:X16)/SUM($F$3:F16))</f>
        <v>#DIV/0!</v>
      </c>
      <c r="AC16" s="27"/>
      <c r="AD16" s="7">
        <f t="shared" si="5"/>
        <v>45568</v>
      </c>
      <c r="AE16" s="29">
        <f t="shared" si="6"/>
        <v>16</v>
      </c>
      <c r="AF16" s="37">
        <f t="shared" si="7"/>
        <v>12</v>
      </c>
      <c r="AG16" s="29">
        <f t="shared" ca="1" si="8"/>
        <v>23.920634920634921</v>
      </c>
      <c r="AH16" s="27"/>
      <c r="AI16" s="7">
        <f t="shared" si="9"/>
        <v>45568</v>
      </c>
      <c r="AJ16" s="15">
        <f t="shared" si="19"/>
        <v>146</v>
      </c>
      <c r="AK16" s="15">
        <f t="shared" ca="1" si="16"/>
        <v>178</v>
      </c>
      <c r="AL16" s="27"/>
      <c r="AM16" s="11">
        <f t="shared" si="10"/>
        <v>45568</v>
      </c>
      <c r="AN16" s="28">
        <f t="shared" ca="1" si="20"/>
        <v>14.25</v>
      </c>
      <c r="AO16" s="28">
        <f t="shared" ca="1" si="21"/>
        <v>8.1428571428571423</v>
      </c>
      <c r="AP16">
        <f t="shared" si="11"/>
        <v>6</v>
      </c>
      <c r="AQ16" s="11">
        <f t="shared" ca="1" si="22"/>
        <v>45585.487719298246</v>
      </c>
      <c r="AR16" s="29">
        <f ca="1">AK16/(NETWORKDAYS(B16,$AU$1,Days!$A$11:$A$25)-1)</f>
        <v>17.8</v>
      </c>
      <c r="AS16" s="29">
        <f t="shared" ca="1" si="17"/>
        <v>8.9</v>
      </c>
      <c r="AT16" s="27"/>
      <c r="AV16" s="10">
        <f t="shared" si="12"/>
        <v>1</v>
      </c>
      <c r="AW16" s="10">
        <f t="shared" si="13"/>
        <v>1</v>
      </c>
      <c r="AX16" s="10">
        <f t="shared" si="14"/>
        <v>0</v>
      </c>
      <c r="AY16" s="7">
        <f t="shared" si="15"/>
        <v>45568</v>
      </c>
      <c r="AZ16">
        <f ca="1">IF(B16&gt;TODAY(),"",SUM($V$3:V16)/SUM($AV$3:AV16))</f>
        <v>7.1428571428571432</v>
      </c>
      <c r="BA16">
        <f ca="1">IF(B16&gt;TODAY(),"",SUM($W$3:W16)/SUM($AW$3:AW16))</f>
        <v>18.875</v>
      </c>
      <c r="BB16" t="e">
        <f ca="1">IF(B16&gt;TODAY(),"",SUM($X$3:X16)/SUM($AX$3:AX16))</f>
        <v>#DIV/0!</v>
      </c>
    </row>
    <row r="17" spans="1:54" x14ac:dyDescent="0.25">
      <c r="A17" s="6" t="str">
        <f>VLOOKUP(WEEKDAY(B17,2),Days!$A$1:$B$7,2,0)</f>
        <v>Fri</v>
      </c>
      <c r="B17" s="7">
        <f t="shared" si="18"/>
        <v>45569</v>
      </c>
      <c r="C17" s="6">
        <f>IF(AND(A17&lt;&gt;"Sat",A17&lt;&gt;"Sun",ISERROR(VLOOKUP(B17,Days!$A$10:$A$38,1,0))),1,(IF(AF17&lt;&gt;0,1,0)))</f>
        <v>1</v>
      </c>
      <c r="D17" s="10">
        <v>1</v>
      </c>
      <c r="E17" s="10">
        <v>1</v>
      </c>
      <c r="F17" s="10">
        <v>0</v>
      </c>
      <c r="G17" s="27"/>
      <c r="H17" s="10">
        <v>1</v>
      </c>
      <c r="I17" s="10">
        <v>1</v>
      </c>
      <c r="J17" s="10">
        <v>0</v>
      </c>
      <c r="K17" s="27"/>
      <c r="L17">
        <f>$C17*H17*Days!$F$1</f>
        <v>8</v>
      </c>
      <c r="M17">
        <f>$C17*I17*Days!$F$1</f>
        <v>8</v>
      </c>
      <c r="N17">
        <f>$C17*J17*Days!$F$1</f>
        <v>0</v>
      </c>
      <c r="O17" s="27"/>
      <c r="P17">
        <f t="shared" ca="1" si="0"/>
        <v>6</v>
      </c>
      <c r="Q17">
        <f t="shared" ca="1" si="1"/>
        <v>6</v>
      </c>
      <c r="R17">
        <f t="shared" ca="1" si="2"/>
        <v>0</v>
      </c>
      <c r="S17" s="27"/>
      <c r="T17" s="7">
        <f t="shared" si="3"/>
        <v>45569</v>
      </c>
      <c r="U17" s="6">
        <f t="shared" si="4"/>
        <v>1</v>
      </c>
      <c r="V17">
        <f>COUNTIFS('2024 - L&amp;G R64 - Test Instances'!H:H,B17,'2024 - L&amp;G R64 - Test Instances'!L:L,$V$2,'2024 - L&amp;G R64 - Test Instances'!O:O,"Done")</f>
        <v>14</v>
      </c>
      <c r="W17">
        <f>COUNTIFS('2024 - L&amp;G R64 - Test Instances'!H:H,B17,'2024 - L&amp;G R64 - Test Instances'!L:L,$W$2,'2024 - L&amp;G R64 - Test Instances'!O:O,"Done")</f>
        <v>14</v>
      </c>
      <c r="X17">
        <f>COUNTIFS('2024 - L&amp;G R64 - Test Instances'!H:H,B17,'2024 - L&amp;G R64 - Test Instances'!L:L,$X$2,'2024 - L&amp;G R64 - Test Instances'!O:O,"Done")</f>
        <v>0</v>
      </c>
      <c r="Y17" s="27">
        <v>8</v>
      </c>
      <c r="Z17" s="29">
        <f ca="1">IF(B17&gt;TODAY(),"",SUM($V$3:V17)/SUM($D$3:D17))</f>
        <v>8</v>
      </c>
      <c r="AA17" s="29">
        <f ca="1">IF(B17&gt;TODAY(),"",SUM($W$3:W17)/SUM($E$3:E17))</f>
        <v>16.5</v>
      </c>
      <c r="AB17" s="29" t="e">
        <f ca="1">IF(B17&gt;TODAY(),"",SUM($X$3:X17)/SUM($F$3:F17))</f>
        <v>#DIV/0!</v>
      </c>
      <c r="AC17" s="27"/>
      <c r="AD17" s="7">
        <f t="shared" si="5"/>
        <v>45569</v>
      </c>
      <c r="AE17" s="29">
        <f t="shared" si="6"/>
        <v>16</v>
      </c>
      <c r="AF17" s="37">
        <f t="shared" si="7"/>
        <v>28</v>
      </c>
      <c r="AG17" s="29">
        <f t="shared" ca="1" si="8"/>
        <v>24.5</v>
      </c>
      <c r="AH17" s="27"/>
      <c r="AI17" s="7">
        <f t="shared" si="9"/>
        <v>45569</v>
      </c>
      <c r="AJ17" s="15">
        <f t="shared" si="19"/>
        <v>130</v>
      </c>
      <c r="AK17" s="15">
        <f t="shared" ca="1" si="16"/>
        <v>150</v>
      </c>
      <c r="AL17" s="27"/>
      <c r="AM17" s="11">
        <f t="shared" si="10"/>
        <v>45569</v>
      </c>
      <c r="AN17" s="28">
        <f t="shared" ca="1" si="20"/>
        <v>17</v>
      </c>
      <c r="AO17" s="28">
        <f t="shared" ca="1" si="21"/>
        <v>9.4444444444444446</v>
      </c>
      <c r="AP17">
        <f t="shared" si="11"/>
        <v>14</v>
      </c>
      <c r="AQ17" s="11">
        <f t="shared" ca="1" si="22"/>
        <v>45581.352941176468</v>
      </c>
      <c r="AR17" s="29">
        <f ca="1">AK17/(NETWORKDAYS(B17,$AU$1,Days!$A$11:$A$25)-1)</f>
        <v>16.666666666666668</v>
      </c>
      <c r="AS17" s="29">
        <f t="shared" ca="1" si="17"/>
        <v>8.3333333333333339</v>
      </c>
      <c r="AT17" s="27"/>
      <c r="AV17" s="10">
        <f t="shared" si="12"/>
        <v>1</v>
      </c>
      <c r="AW17" s="10">
        <f t="shared" si="13"/>
        <v>1</v>
      </c>
      <c r="AX17" s="10">
        <f t="shared" si="14"/>
        <v>0</v>
      </c>
      <c r="AY17" s="7">
        <f t="shared" si="15"/>
        <v>45569</v>
      </c>
      <c r="AZ17">
        <f ca="1">IF(B17&gt;TODAY(),"",SUM($V$3:V17)/SUM($AV$3:AV17))</f>
        <v>8</v>
      </c>
      <c r="BA17">
        <f ca="1">IF(B17&gt;TODAY(),"",SUM($W$3:W17)/SUM($AW$3:AW17))</f>
        <v>18.333333333333332</v>
      </c>
      <c r="BB17" t="e">
        <f ca="1">IF(B17&gt;TODAY(),"",SUM($X$3:X17)/SUM($AX$3:AX17))</f>
        <v>#DIV/0!</v>
      </c>
    </row>
    <row r="18" spans="1:54" x14ac:dyDescent="0.25">
      <c r="A18" s="6" t="str">
        <f>VLOOKUP(WEEKDAY(B18,2),Days!$A$1:$B$7,2,0)</f>
        <v>Sat</v>
      </c>
      <c r="B18" s="7">
        <f t="shared" si="18"/>
        <v>45570</v>
      </c>
      <c r="C18" s="6">
        <f>IF(AND(A18&lt;&gt;"Sat",A18&lt;&gt;"Sun",ISERROR(VLOOKUP(B18,Days!$A$10:$A$38,1,0))),1,(IF(AF18&lt;&gt;0,1,0)))</f>
        <v>0</v>
      </c>
      <c r="D18" s="10"/>
      <c r="E18" s="10"/>
      <c r="F18" s="10"/>
      <c r="G18" s="27"/>
      <c r="H18" s="10">
        <v>0</v>
      </c>
      <c r="I18" s="10">
        <v>0</v>
      </c>
      <c r="J18" s="10">
        <v>0</v>
      </c>
      <c r="K18" s="27"/>
      <c r="L18">
        <f>$C18*H18*Days!$F$1</f>
        <v>0</v>
      </c>
      <c r="M18">
        <f>$C18*I18*Days!$F$1</f>
        <v>0</v>
      </c>
      <c r="N18">
        <f>$C18*J18*Days!$F$1</f>
        <v>0</v>
      </c>
      <c r="O18" s="27"/>
      <c r="P18">
        <f t="shared" ca="1" si="0"/>
        <v>0</v>
      </c>
      <c r="Q18">
        <f t="shared" ca="1" si="1"/>
        <v>0</v>
      </c>
      <c r="R18">
        <f t="shared" ca="1" si="2"/>
        <v>0</v>
      </c>
      <c r="S18" s="27"/>
      <c r="T18" s="7">
        <f t="shared" si="3"/>
        <v>45570</v>
      </c>
      <c r="U18" s="6">
        <f t="shared" si="4"/>
        <v>0</v>
      </c>
      <c r="V18">
        <f>COUNTIFS('2024 - L&amp;G R64 - Test Instances'!H:H,B18,'2024 - L&amp;G R64 - Test Instances'!L:L,$V$2,'2024 - L&amp;G R64 - Test Instances'!O:O,"Done")</f>
        <v>0</v>
      </c>
      <c r="W18">
        <f>COUNTIFS('2024 - L&amp;G R64 - Test Instances'!H:H,B18,'2024 - L&amp;G R64 - Test Instances'!L:L,$W$2,'2024 - L&amp;G R64 - Test Instances'!O:O,"Done")</f>
        <v>0</v>
      </c>
      <c r="X18">
        <f>COUNTIFS('2024 - L&amp;G R64 - Test Instances'!H:H,B18,'2024 - L&amp;G R64 - Test Instances'!L:L,$X$2,'2024 - L&amp;G R64 - Test Instances'!O:O,"Done")</f>
        <v>0</v>
      </c>
      <c r="Y18" s="27">
        <v>8</v>
      </c>
      <c r="Z18" s="29">
        <f ca="1">IF(B18&gt;TODAY(),"",SUM($V$3:V18)/SUM($D$3:D18))</f>
        <v>8</v>
      </c>
      <c r="AA18" s="29">
        <f ca="1">IF(B18&gt;TODAY(),"",SUM($W$3:W18)/SUM($E$3:E18))</f>
        <v>16.5</v>
      </c>
      <c r="AB18" s="29" t="e">
        <f ca="1">IF(B18&gt;TODAY(),"",SUM($X$3:X18)/SUM($F$3:F18))</f>
        <v>#DIV/0!</v>
      </c>
      <c r="AC18" s="27"/>
      <c r="AD18" s="7">
        <f t="shared" si="5"/>
        <v>45570</v>
      </c>
      <c r="AE18" s="29">
        <f t="shared" si="6"/>
        <v>0</v>
      </c>
      <c r="AF18" s="37">
        <f t="shared" si="7"/>
        <v>0</v>
      </c>
      <c r="AG18" s="29">
        <f t="shared" ca="1" si="8"/>
        <v>24.5</v>
      </c>
      <c r="AH18" s="27"/>
      <c r="AI18" s="7">
        <f t="shared" si="9"/>
        <v>45570</v>
      </c>
      <c r="AJ18" s="15">
        <f t="shared" si="19"/>
        <v>130</v>
      </c>
      <c r="AK18" s="15">
        <f t="shared" ca="1" si="16"/>
        <v>150</v>
      </c>
      <c r="AL18" s="27"/>
      <c r="AM18" s="11">
        <f t="shared" si="10"/>
        <v>45570</v>
      </c>
      <c r="AN18" s="28">
        <f t="shared" ca="1" si="20"/>
        <v>15.25</v>
      </c>
      <c r="AO18" s="28">
        <f t="shared" ca="1" si="21"/>
        <v>8.7142857142857135</v>
      </c>
      <c r="AP18">
        <f t="shared" si="11"/>
        <v>0</v>
      </c>
      <c r="AQ18" s="11">
        <f t="shared" ca="1" si="22"/>
        <v>45583.770491803276</v>
      </c>
      <c r="AR18" s="29">
        <f ca="1">AK18/(NETWORKDAYS(B18,$AU$1,Days!$A$11:$A$25)-1)</f>
        <v>18.75</v>
      </c>
      <c r="AS18" s="29">
        <f t="shared" ca="1" si="17"/>
        <v>9.375</v>
      </c>
      <c r="AT18" s="27"/>
      <c r="AV18" s="10">
        <f t="shared" si="12"/>
        <v>0</v>
      </c>
      <c r="AW18" s="10">
        <f t="shared" si="13"/>
        <v>0</v>
      </c>
      <c r="AX18" s="10">
        <f t="shared" si="14"/>
        <v>0</v>
      </c>
      <c r="AY18" s="7">
        <f t="shared" si="15"/>
        <v>45570</v>
      </c>
      <c r="AZ18">
        <f ca="1">IF(B18&gt;TODAY(),"",SUM($V$3:V18)/SUM($AV$3:AV18))</f>
        <v>8</v>
      </c>
      <c r="BA18">
        <f ca="1">IF(B18&gt;TODAY(),"",SUM($W$3:W18)/SUM($AW$3:AW18))</f>
        <v>18.333333333333332</v>
      </c>
      <c r="BB18" t="e">
        <f ca="1">IF(B18&gt;TODAY(),"",SUM($X$3:X18)/SUM($AX$3:AX18))</f>
        <v>#DIV/0!</v>
      </c>
    </row>
    <row r="19" spans="1:54" x14ac:dyDescent="0.25">
      <c r="A19" s="6" t="str">
        <f>VLOOKUP(WEEKDAY(B19,2),Days!$A$1:$B$7,2,0)</f>
        <v>Sun</v>
      </c>
      <c r="B19" s="7">
        <f t="shared" si="18"/>
        <v>45571</v>
      </c>
      <c r="C19" s="6">
        <f>IF(AND(A19&lt;&gt;"Sat",A19&lt;&gt;"Sun",ISERROR(VLOOKUP(B19,Days!$A$10:$A$38,1,0))),1,(IF(AF19&lt;&gt;0,1,0)))</f>
        <v>0</v>
      </c>
      <c r="D19" s="10"/>
      <c r="E19" s="10"/>
      <c r="F19" s="10"/>
      <c r="G19" s="27"/>
      <c r="H19" s="10">
        <v>0</v>
      </c>
      <c r="I19" s="10">
        <v>0</v>
      </c>
      <c r="J19" s="10">
        <v>0</v>
      </c>
      <c r="K19" s="27"/>
      <c r="L19">
        <f>$C19*H19*Days!$F$1</f>
        <v>0</v>
      </c>
      <c r="M19">
        <f>$C19*I19*Days!$F$1</f>
        <v>0</v>
      </c>
      <c r="N19">
        <f>$C19*J19*Days!$F$1</f>
        <v>0</v>
      </c>
      <c r="O19" s="27"/>
      <c r="P19">
        <f t="shared" ca="1" si="0"/>
        <v>0</v>
      </c>
      <c r="Q19">
        <f t="shared" ca="1" si="1"/>
        <v>0</v>
      </c>
      <c r="R19">
        <f t="shared" ca="1" si="2"/>
        <v>0</v>
      </c>
      <c r="S19" s="27"/>
      <c r="T19" s="7">
        <f t="shared" si="3"/>
        <v>45571</v>
      </c>
      <c r="U19" s="6">
        <f t="shared" si="4"/>
        <v>0</v>
      </c>
      <c r="V19">
        <f>COUNTIFS('2024 - L&amp;G R64 - Test Instances'!H:H,B19,'2024 - L&amp;G R64 - Test Instances'!L:L,$V$2,'2024 - L&amp;G R64 - Test Instances'!O:O,"Done")</f>
        <v>0</v>
      </c>
      <c r="W19">
        <f>COUNTIFS('2024 - L&amp;G R64 - Test Instances'!H:H,B19,'2024 - L&amp;G R64 - Test Instances'!L:L,$W$2,'2024 - L&amp;G R64 - Test Instances'!O:O,"Done")</f>
        <v>0</v>
      </c>
      <c r="X19">
        <f>COUNTIFS('2024 - L&amp;G R64 - Test Instances'!H:H,B19,'2024 - L&amp;G R64 - Test Instances'!L:L,$X$2,'2024 - L&amp;G R64 - Test Instances'!O:O,"Done")</f>
        <v>0</v>
      </c>
      <c r="Y19" s="27">
        <v>8</v>
      </c>
      <c r="Z19" s="29">
        <f ca="1">IF(B19&gt;TODAY(),"",SUM($V$3:V19)/SUM($D$3:D19))</f>
        <v>8</v>
      </c>
      <c r="AA19" s="29">
        <f ca="1">IF(B19&gt;TODAY(),"",SUM($W$3:W19)/SUM($E$3:E19))</f>
        <v>16.5</v>
      </c>
      <c r="AB19" s="29" t="e">
        <f ca="1">IF(B19&gt;TODAY(),"",SUM($X$3:X19)/SUM($F$3:F19))</f>
        <v>#DIV/0!</v>
      </c>
      <c r="AC19" s="27"/>
      <c r="AD19" s="7">
        <f t="shared" si="5"/>
        <v>45571</v>
      </c>
      <c r="AE19" s="29">
        <f t="shared" si="6"/>
        <v>0</v>
      </c>
      <c r="AF19" s="37">
        <f t="shared" si="7"/>
        <v>0</v>
      </c>
      <c r="AG19" s="29">
        <f t="shared" ca="1" si="8"/>
        <v>24.5</v>
      </c>
      <c r="AH19" s="27"/>
      <c r="AI19" s="7">
        <f t="shared" si="9"/>
        <v>45571</v>
      </c>
      <c r="AJ19" s="15">
        <f t="shared" si="19"/>
        <v>130</v>
      </c>
      <c r="AK19" s="15">
        <f t="shared" ca="1" si="16"/>
        <v>150</v>
      </c>
      <c r="AL19" s="27"/>
      <c r="AM19" s="11">
        <f t="shared" si="10"/>
        <v>45571</v>
      </c>
      <c r="AN19" s="28">
        <f t="shared" ca="1" si="20"/>
        <v>16</v>
      </c>
      <c r="AO19" s="28">
        <f t="shared" ca="1" si="21"/>
        <v>9.6</v>
      </c>
      <c r="AP19">
        <f t="shared" si="11"/>
        <v>0</v>
      </c>
      <c r="AQ19" s="11">
        <f t="shared" ca="1" si="22"/>
        <v>45584.125</v>
      </c>
      <c r="AR19" s="29">
        <f ca="1">AK19/(NETWORKDAYS(B19,$AU$1,Days!$A$11:$A$25)-1)</f>
        <v>18.75</v>
      </c>
      <c r="AS19" s="29">
        <f t="shared" ca="1" si="17"/>
        <v>9.375</v>
      </c>
      <c r="AT19" s="27"/>
      <c r="AV19" s="10">
        <f t="shared" si="12"/>
        <v>0</v>
      </c>
      <c r="AW19" s="10">
        <f t="shared" si="13"/>
        <v>0</v>
      </c>
      <c r="AX19" s="10">
        <f t="shared" si="14"/>
        <v>0</v>
      </c>
      <c r="AY19" s="7">
        <f t="shared" si="15"/>
        <v>45571</v>
      </c>
      <c r="AZ19">
        <f ca="1">IF(B19&gt;TODAY(),"",SUM($V$3:V19)/SUM($AV$3:AV19))</f>
        <v>8</v>
      </c>
      <c r="BA19">
        <f ca="1">IF(B19&gt;TODAY(),"",SUM($W$3:W19)/SUM($AW$3:AW19))</f>
        <v>18.333333333333332</v>
      </c>
      <c r="BB19" t="e">
        <f ca="1">IF(B19&gt;TODAY(),"",SUM($X$3:X19)/SUM($AX$3:AX19))</f>
        <v>#DIV/0!</v>
      </c>
    </row>
    <row r="20" spans="1:54" x14ac:dyDescent="0.25">
      <c r="A20" s="6" t="str">
        <f>VLOOKUP(WEEKDAY(B20,2),Days!$A$1:$B$7,2,0)</f>
        <v>Mon</v>
      </c>
      <c r="B20" s="7">
        <f t="shared" si="18"/>
        <v>45572</v>
      </c>
      <c r="C20" s="6">
        <f>IF(AND(A20&lt;&gt;"Sat",A20&lt;&gt;"Sun",ISERROR(VLOOKUP(B20,Days!$A$10:$A$38,1,0))),1,(IF(AF20&lt;&gt;0,1,0)))</f>
        <v>1</v>
      </c>
      <c r="D20" s="10">
        <v>1</v>
      </c>
      <c r="E20" s="10">
        <v>1</v>
      </c>
      <c r="F20" s="10">
        <v>0</v>
      </c>
      <c r="G20" s="27"/>
      <c r="H20" s="10">
        <v>1</v>
      </c>
      <c r="I20" s="10">
        <v>1</v>
      </c>
      <c r="J20" s="10">
        <v>0</v>
      </c>
      <c r="K20" s="27"/>
      <c r="L20">
        <f>$C20*H20*Days!$F$1</f>
        <v>8</v>
      </c>
      <c r="M20">
        <f>$C20*I20*Days!$F$1</f>
        <v>8</v>
      </c>
      <c r="N20">
        <f>$C20*J20*Days!$F$1</f>
        <v>0</v>
      </c>
      <c r="O20" s="27"/>
      <c r="P20">
        <f t="shared" ca="1" si="0"/>
        <v>4</v>
      </c>
      <c r="Q20">
        <f t="shared" ca="1" si="1"/>
        <v>8</v>
      </c>
      <c r="R20">
        <f t="shared" ca="1" si="2"/>
        <v>0</v>
      </c>
      <c r="S20" s="27"/>
      <c r="T20" s="7">
        <f t="shared" si="3"/>
        <v>45572</v>
      </c>
      <c r="U20" s="6">
        <f t="shared" si="4"/>
        <v>1</v>
      </c>
      <c r="V20">
        <f>COUNTIFS('2024 - L&amp;G R64 - Test Instances'!H:H,B20,'2024 - L&amp;G R64 - Test Instances'!L:L,$V$2,'2024 - L&amp;G R64 - Test Instances'!O:O,"Done")</f>
        <v>12</v>
      </c>
      <c r="W20">
        <f>COUNTIFS('2024 - L&amp;G R64 - Test Instances'!H:H,B20,'2024 - L&amp;G R64 - Test Instances'!L:L,$W$2,'2024 - L&amp;G R64 - Test Instances'!O:O,"Done")</f>
        <v>16</v>
      </c>
      <c r="X20">
        <f>COUNTIFS('2024 - L&amp;G R64 - Test Instances'!H:H,B20,'2024 - L&amp;G R64 - Test Instances'!L:L,$X$2,'2024 - L&amp;G R64 - Test Instances'!O:O,"Done")</f>
        <v>0</v>
      </c>
      <c r="Y20" s="27">
        <v>8</v>
      </c>
      <c r="Z20" s="29">
        <f ca="1">IF(B20&gt;TODAY(),"",SUM($V$3:V20)/SUM($D$3:D20))</f>
        <v>8.4444444444444446</v>
      </c>
      <c r="AA20" s="29">
        <f ca="1">IF(B20&gt;TODAY(),"",SUM($W$3:W20)/SUM($E$3:E20))</f>
        <v>16.454545454545453</v>
      </c>
      <c r="AB20" s="29" t="e">
        <f ca="1">IF(B20&gt;TODAY(),"",SUM($X$3:X20)/SUM($F$3:F20))</f>
        <v>#DIV/0!</v>
      </c>
      <c r="AC20" s="27"/>
      <c r="AD20" s="7">
        <f t="shared" si="5"/>
        <v>45572</v>
      </c>
      <c r="AE20" s="29">
        <f t="shared" si="6"/>
        <v>16</v>
      </c>
      <c r="AF20" s="37">
        <f t="shared" si="7"/>
        <v>28</v>
      </c>
      <c r="AG20" s="29">
        <f t="shared" ca="1" si="8"/>
        <v>24.898989898989896</v>
      </c>
      <c r="AH20" s="27"/>
      <c r="AI20" s="7">
        <f t="shared" si="9"/>
        <v>45572</v>
      </c>
      <c r="AJ20" s="15">
        <f t="shared" si="19"/>
        <v>114</v>
      </c>
      <c r="AK20" s="15">
        <f t="shared" ca="1" si="16"/>
        <v>122</v>
      </c>
      <c r="AL20" s="27"/>
      <c r="AM20" s="11">
        <f t="shared" si="10"/>
        <v>45572</v>
      </c>
      <c r="AN20" s="28">
        <f t="shared" ca="1" si="20"/>
        <v>22.666666666666668</v>
      </c>
      <c r="AO20" s="28">
        <f t="shared" ca="1" si="21"/>
        <v>11.333333333333334</v>
      </c>
      <c r="AP20">
        <f t="shared" si="11"/>
        <v>14</v>
      </c>
      <c r="AQ20" s="11">
        <f t="shared" ca="1" si="22"/>
        <v>45579.535294117646</v>
      </c>
      <c r="AR20" s="29">
        <f ca="1">AK20/(NETWORKDAYS(B20,$AU$1,Days!$A$11:$A$25)-1)</f>
        <v>15.25</v>
      </c>
      <c r="AS20" s="29">
        <f t="shared" ca="1" si="17"/>
        <v>7.625</v>
      </c>
      <c r="AT20" s="27"/>
      <c r="AV20" s="10">
        <f t="shared" si="12"/>
        <v>1</v>
      </c>
      <c r="AW20" s="10">
        <f t="shared" si="13"/>
        <v>1</v>
      </c>
      <c r="AX20" s="10">
        <f t="shared" si="14"/>
        <v>0</v>
      </c>
      <c r="AY20" s="7">
        <f t="shared" si="15"/>
        <v>45572</v>
      </c>
      <c r="AZ20">
        <f ca="1">IF(B20&gt;TODAY(),"",SUM($V$3:V20)/SUM($AV$3:AV20))</f>
        <v>8.4444444444444446</v>
      </c>
      <c r="BA20">
        <f ca="1">IF(B20&gt;TODAY(),"",SUM($W$3:W20)/SUM($AW$3:AW20))</f>
        <v>18.100000000000001</v>
      </c>
      <c r="BB20" t="e">
        <f ca="1">IF(B20&gt;TODAY(),"",SUM($X$3:X20)/SUM($AX$3:AX20))</f>
        <v>#DIV/0!</v>
      </c>
    </row>
    <row r="21" spans="1:54" x14ac:dyDescent="0.25">
      <c r="A21" s="6" t="str">
        <f>VLOOKUP(WEEKDAY(B21,2),Days!$A$1:$B$7,2,0)</f>
        <v>Tue</v>
      </c>
      <c r="B21" s="7">
        <f t="shared" si="18"/>
        <v>45573</v>
      </c>
      <c r="C21" s="6">
        <f>IF(AND(A21&lt;&gt;"Sat",A21&lt;&gt;"Sun",ISERROR(VLOOKUP(B21,Days!$A$10:$A$38,1,0))),1,(IF(AF21&lt;&gt;0,1,0)))</f>
        <v>1</v>
      </c>
      <c r="D21" s="10">
        <v>1</v>
      </c>
      <c r="E21" s="10">
        <v>1</v>
      </c>
      <c r="F21" s="10">
        <v>0</v>
      </c>
      <c r="G21" s="27"/>
      <c r="H21" s="10">
        <v>1</v>
      </c>
      <c r="I21" s="10">
        <v>1</v>
      </c>
      <c r="J21" s="10">
        <v>0</v>
      </c>
      <c r="K21" s="27"/>
      <c r="L21">
        <f>$C21*H21*Days!$F$1</f>
        <v>8</v>
      </c>
      <c r="M21">
        <f>$C21*I21*Days!$F$1</f>
        <v>8</v>
      </c>
      <c r="N21">
        <f>$C21*J21*Days!$F$1</f>
        <v>0</v>
      </c>
      <c r="O21" s="27"/>
      <c r="P21">
        <f t="shared" ca="1" si="0"/>
        <v>2</v>
      </c>
      <c r="Q21">
        <f t="shared" ca="1" si="1"/>
        <v>-4</v>
      </c>
      <c r="R21">
        <f t="shared" ca="1" si="2"/>
        <v>0</v>
      </c>
      <c r="S21" s="27"/>
      <c r="T21" s="7">
        <f t="shared" si="3"/>
        <v>45573</v>
      </c>
      <c r="U21" s="6">
        <f t="shared" si="4"/>
        <v>1</v>
      </c>
      <c r="V21">
        <f>COUNTIFS('2024 - L&amp;G R64 - Test Instances'!H:H,B21,'2024 - L&amp;G R64 - Test Instances'!L:L,$V$2,'2024 - L&amp;G R64 - Test Instances'!O:O,"Done")</f>
        <v>10</v>
      </c>
      <c r="W21">
        <f>COUNTIFS('2024 - L&amp;G R64 - Test Instances'!H:H,B21,'2024 - L&amp;G R64 - Test Instances'!L:L,$W$2,'2024 - L&amp;G R64 - Test Instances'!O:O,"Done")</f>
        <v>4</v>
      </c>
      <c r="X21">
        <f>COUNTIFS('2024 - L&amp;G R64 - Test Instances'!H:H,B21,'2024 - L&amp;G R64 - Test Instances'!L:L,$X$2,'2024 - L&amp;G R64 - Test Instances'!O:O,"Done")</f>
        <v>0</v>
      </c>
      <c r="Y21" s="27">
        <v>8</v>
      </c>
      <c r="Z21" s="29">
        <f ca="1">IF(B21&gt;TODAY(),"",SUM($V$3:V21)/SUM($D$3:D21))</f>
        <v>8.6</v>
      </c>
      <c r="AA21" s="29">
        <f ca="1">IF(B21&gt;TODAY(),"",SUM($W$3:W21)/SUM($E$3:E21))</f>
        <v>15.416666666666666</v>
      </c>
      <c r="AB21" s="29" t="e">
        <f ca="1">IF(B21&gt;TODAY(),"",SUM($X$3:X21)/SUM($F$3:F21))</f>
        <v>#DIV/0!</v>
      </c>
      <c r="AC21" s="27"/>
      <c r="AD21" s="7">
        <f t="shared" si="5"/>
        <v>45573</v>
      </c>
      <c r="AE21" s="29">
        <f t="shared" si="6"/>
        <v>16</v>
      </c>
      <c r="AF21" s="37">
        <f t="shared" si="7"/>
        <v>14</v>
      </c>
      <c r="AG21" s="29">
        <f t="shared" ca="1" si="8"/>
        <v>24.016666666666666</v>
      </c>
      <c r="AH21" s="27"/>
      <c r="AI21" s="7">
        <f t="shared" si="9"/>
        <v>45573</v>
      </c>
      <c r="AJ21" s="15">
        <f t="shared" si="19"/>
        <v>98</v>
      </c>
      <c r="AK21" s="15">
        <f t="shared" ca="1" si="16"/>
        <v>108</v>
      </c>
      <c r="AL21" s="27"/>
      <c r="AM21" s="11">
        <f t="shared" si="10"/>
        <v>45573</v>
      </c>
      <c r="AN21" s="28">
        <f t="shared" ca="1" si="20"/>
        <v>23.333333333333332</v>
      </c>
      <c r="AO21" s="28">
        <f t="shared" ca="1" si="21"/>
        <v>11.666666666666666</v>
      </c>
      <c r="AP21">
        <f t="shared" si="11"/>
        <v>7</v>
      </c>
      <c r="AQ21" s="11">
        <f t="shared" ca="1" si="22"/>
        <v>45579.48</v>
      </c>
      <c r="AR21" s="29">
        <f ca="1">AK21/(NETWORKDAYS(B21,$AU$1,Days!$A$11:$A$25)-1)</f>
        <v>15.428571428571429</v>
      </c>
      <c r="AS21" s="29">
        <f t="shared" ca="1" si="17"/>
        <v>7.7142857142857144</v>
      </c>
      <c r="AT21" s="27"/>
      <c r="AV21" s="10">
        <f t="shared" si="12"/>
        <v>1</v>
      </c>
      <c r="AW21" s="10">
        <f t="shared" si="13"/>
        <v>1</v>
      </c>
      <c r="AX21" s="10">
        <f t="shared" si="14"/>
        <v>0</v>
      </c>
      <c r="AY21" s="7">
        <f t="shared" si="15"/>
        <v>45573</v>
      </c>
      <c r="AZ21">
        <f ca="1">IF(B21&gt;TODAY(),"",SUM($V$3:V21)/SUM($AV$3:AV21))</f>
        <v>8.6</v>
      </c>
      <c r="BA21">
        <f ca="1">IF(B21&gt;TODAY(),"",SUM($W$3:W21)/SUM($AW$3:AW21))</f>
        <v>16.818181818181817</v>
      </c>
      <c r="BB21" t="e">
        <f ca="1">IF(B21&gt;TODAY(),"",SUM($X$3:X21)/SUM($AX$3:AX21))</f>
        <v>#DIV/0!</v>
      </c>
    </row>
    <row r="22" spans="1:54" x14ac:dyDescent="0.25">
      <c r="A22" s="6" t="str">
        <f>VLOOKUP(WEEKDAY(B22,2),Days!$A$1:$B$7,2,0)</f>
        <v>Wed</v>
      </c>
      <c r="B22" s="7">
        <f t="shared" si="18"/>
        <v>45574</v>
      </c>
      <c r="C22" s="6">
        <f>IF(AND(A22&lt;&gt;"Sat",A22&lt;&gt;"Sun",ISERROR(VLOOKUP(B22,Days!$A$10:$A$38,1,0))),1,(IF(AF22&lt;&gt;0,1,0)))</f>
        <v>1</v>
      </c>
      <c r="D22" s="10">
        <v>1</v>
      </c>
      <c r="E22" s="10">
        <v>1</v>
      </c>
      <c r="F22" s="10">
        <v>0</v>
      </c>
      <c r="G22" s="27"/>
      <c r="H22" s="10">
        <v>1</v>
      </c>
      <c r="I22" s="10">
        <v>1</v>
      </c>
      <c r="J22" s="10">
        <v>0</v>
      </c>
      <c r="K22" s="27"/>
      <c r="L22">
        <f>$C22*H22*Days!$F$1</f>
        <v>8</v>
      </c>
      <c r="M22">
        <f>$C22*I22*Days!$F$1</f>
        <v>8</v>
      </c>
      <c r="N22">
        <f>$C22*J22*Days!$F$1</f>
        <v>0</v>
      </c>
      <c r="O22" s="27"/>
      <c r="P22">
        <f t="shared" ca="1" si="0"/>
        <v>0</v>
      </c>
      <c r="Q22">
        <f t="shared" ca="1" si="1"/>
        <v>-1</v>
      </c>
      <c r="R22">
        <f t="shared" ca="1" si="2"/>
        <v>0</v>
      </c>
      <c r="S22" s="27"/>
      <c r="T22" s="7">
        <f t="shared" si="3"/>
        <v>45574</v>
      </c>
      <c r="U22" s="6">
        <f t="shared" si="4"/>
        <v>1</v>
      </c>
      <c r="V22">
        <f>COUNTIFS('2024 - L&amp;G R64 - Test Instances'!H:H,B22,'2024 - L&amp;G R64 - Test Instances'!L:L,$V$2,'2024 - L&amp;G R64 - Test Instances'!O:O,"Done")</f>
        <v>8</v>
      </c>
      <c r="W22">
        <f>COUNTIFS('2024 - L&amp;G R64 - Test Instances'!H:H,B22,'2024 - L&amp;G R64 - Test Instances'!L:L,$W$2,'2024 - L&amp;G R64 - Test Instances'!O:O,"Done")</f>
        <v>7</v>
      </c>
      <c r="X22">
        <f>COUNTIFS('2024 - L&amp;G R64 - Test Instances'!H:H,B22,'2024 - L&amp;G R64 - Test Instances'!L:L,$X$2,'2024 - L&amp;G R64 - Test Instances'!O:O,"Done")</f>
        <v>0</v>
      </c>
      <c r="Y22" s="27">
        <v>8</v>
      </c>
      <c r="Z22" s="29">
        <f ca="1">IF(B22&gt;TODAY(),"",SUM($V$3:V22)/SUM($D$3:D22))</f>
        <v>8.545454545454545</v>
      </c>
      <c r="AA22" s="29">
        <f ca="1">IF(B22&gt;TODAY(),"",SUM($W$3:W22)/SUM($E$3:E22))</f>
        <v>14.76923076923077</v>
      </c>
      <c r="AB22" s="29" t="e">
        <f ca="1">IF(B22&gt;TODAY(),"",SUM($X$3:X22)/SUM($F$3:F22))</f>
        <v>#DIV/0!</v>
      </c>
      <c r="AC22" s="27"/>
      <c r="AD22" s="7">
        <f t="shared" si="5"/>
        <v>45574</v>
      </c>
      <c r="AE22" s="29">
        <f t="shared" si="6"/>
        <v>16</v>
      </c>
      <c r="AF22" s="37">
        <f t="shared" si="7"/>
        <v>15</v>
      </c>
      <c r="AG22" s="29">
        <f t="shared" ca="1" si="8"/>
        <v>23.314685314685313</v>
      </c>
      <c r="AH22" s="27"/>
      <c r="AI22" s="7">
        <f t="shared" si="9"/>
        <v>45574</v>
      </c>
      <c r="AJ22" s="15">
        <f t="shared" si="19"/>
        <v>82</v>
      </c>
      <c r="AK22" s="15">
        <f t="shared" ca="1" si="16"/>
        <v>93</v>
      </c>
      <c r="AL22" s="27"/>
      <c r="AM22" s="11">
        <f t="shared" si="10"/>
        <v>45574</v>
      </c>
      <c r="AN22" s="28">
        <f t="shared" ca="1" si="20"/>
        <v>19</v>
      </c>
      <c r="AO22" s="28">
        <f t="shared" ca="1" si="21"/>
        <v>9.5</v>
      </c>
      <c r="AP22">
        <f t="shared" si="11"/>
        <v>7.5</v>
      </c>
      <c r="AQ22" s="11">
        <f ca="1">IF(ISERROR(B22+(AK22/AN22)*(7/5)),AQ21,(B22+(AK22/AN22)*(7/5)))</f>
        <v>45580.85263157895</v>
      </c>
      <c r="AR22" s="29">
        <f ca="1">AK22/(NETWORKDAYS(B22,$AU$1,Days!$A$11:$A$25)-1)</f>
        <v>15.5</v>
      </c>
      <c r="AS22" s="29">
        <f t="shared" ca="1" si="17"/>
        <v>7.75</v>
      </c>
      <c r="AT22" s="27"/>
      <c r="AV22" s="10">
        <f t="shared" si="12"/>
        <v>1</v>
      </c>
      <c r="AW22" s="10">
        <f t="shared" si="13"/>
        <v>1</v>
      </c>
      <c r="AX22" s="10">
        <f t="shared" si="14"/>
        <v>0</v>
      </c>
      <c r="AY22" s="7">
        <f t="shared" si="15"/>
        <v>45574</v>
      </c>
      <c r="AZ22">
        <f ca="1">IF(B22&gt;TODAY(),"",SUM($V$3:V22)/SUM($AV$3:AV22))</f>
        <v>8.545454545454545</v>
      </c>
      <c r="BA22">
        <f ca="1">IF(B22&gt;TODAY(),"",SUM($W$3:W22)/SUM($AW$3:AW22))</f>
        <v>16</v>
      </c>
      <c r="BB22" t="e">
        <f ca="1">IF(B22&gt;TODAY(),"",SUM($X$3:X22)/SUM($AX$3:AX22))</f>
        <v>#DIV/0!</v>
      </c>
    </row>
    <row r="23" spans="1:54" x14ac:dyDescent="0.25">
      <c r="A23" s="6" t="str">
        <f>VLOOKUP(WEEKDAY(B23,2),Days!$A$1:$B$7,2,0)</f>
        <v>Thu</v>
      </c>
      <c r="B23" s="7">
        <f t="shared" si="18"/>
        <v>45575</v>
      </c>
      <c r="C23" s="6">
        <f>IF(AND(A23&lt;&gt;"Sat",A23&lt;&gt;"Sun",ISERROR(VLOOKUP(B23,Days!$A$10:$A$38,1,0))),1,(IF(AF23&lt;&gt;0,1,0)))</f>
        <v>1</v>
      </c>
      <c r="D23" s="10">
        <v>1</v>
      </c>
      <c r="E23" s="10">
        <v>1</v>
      </c>
      <c r="F23" s="10">
        <v>0</v>
      </c>
      <c r="G23" s="27"/>
      <c r="H23" s="10">
        <v>1</v>
      </c>
      <c r="I23" s="10">
        <v>1</v>
      </c>
      <c r="J23" s="10">
        <v>0</v>
      </c>
      <c r="K23" s="27"/>
      <c r="L23">
        <f>$C23*H23*Days!$F$1</f>
        <v>8</v>
      </c>
      <c r="M23">
        <f>$C23*I23*Days!$F$1</f>
        <v>8</v>
      </c>
      <c r="N23">
        <f>$C23*J23*Days!$F$1</f>
        <v>0</v>
      </c>
      <c r="O23" s="27"/>
      <c r="P23">
        <f t="shared" ca="1" si="0"/>
        <v>-4</v>
      </c>
      <c r="Q23">
        <f t="shared" ca="1" si="1"/>
        <v>-3</v>
      </c>
      <c r="R23">
        <f t="shared" ca="1" si="2"/>
        <v>0</v>
      </c>
      <c r="S23" s="27"/>
      <c r="T23" s="7">
        <f t="shared" si="3"/>
        <v>45575</v>
      </c>
      <c r="U23" s="6">
        <f t="shared" si="4"/>
        <v>1</v>
      </c>
      <c r="V23">
        <f>COUNTIFS('2024 - L&amp;G R64 - Test Instances'!H:H,B23,'2024 - L&amp;G R64 - Test Instances'!L:L,$V$2,'2024 - L&amp;G R64 - Test Instances'!O:O,"Done")</f>
        <v>4</v>
      </c>
      <c r="W23">
        <f>COUNTIFS('2024 - L&amp;G R64 - Test Instances'!H:H,B23,'2024 - L&amp;G R64 - Test Instances'!L:L,$W$2,'2024 - L&amp;G R64 - Test Instances'!O:O,"Done")</f>
        <v>5</v>
      </c>
      <c r="X23">
        <f>COUNTIFS('2024 - L&amp;G R64 - Test Instances'!H:H,B23,'2024 - L&amp;G R64 - Test Instances'!L:L,$X$2,'2024 - L&amp;G R64 - Test Instances'!O:O,"Done")</f>
        <v>0</v>
      </c>
      <c r="Y23" s="27">
        <v>8</v>
      </c>
      <c r="Z23" s="29">
        <f ca="1">IF(B23&gt;TODAY(),"",SUM($V$3:V23)/SUM($D$3:D23))</f>
        <v>8.1666666666666661</v>
      </c>
      <c r="AA23" s="29">
        <f ca="1">IF(B23&gt;TODAY(),"",SUM($W$3:W23)/SUM($E$3:E23))</f>
        <v>14.071428571428571</v>
      </c>
      <c r="AB23" s="29" t="e">
        <f ca="1">IF(B23&gt;TODAY(),"",SUM($X$3:X23)/SUM($F$3:F23))</f>
        <v>#DIV/0!</v>
      </c>
      <c r="AC23" s="27"/>
      <c r="AD23" s="7">
        <f t="shared" si="5"/>
        <v>45575</v>
      </c>
      <c r="AE23" s="29">
        <f t="shared" si="6"/>
        <v>16</v>
      </c>
      <c r="AF23" s="37">
        <f t="shared" si="7"/>
        <v>9</v>
      </c>
      <c r="AG23" s="29">
        <f t="shared" ca="1" si="8"/>
        <v>22.238095238095237</v>
      </c>
      <c r="AH23" s="27"/>
      <c r="AI23" s="7">
        <f t="shared" si="9"/>
        <v>45575</v>
      </c>
      <c r="AJ23" s="15">
        <f t="shared" si="19"/>
        <v>66</v>
      </c>
      <c r="AK23" s="15">
        <f t="shared" ca="1" si="16"/>
        <v>84</v>
      </c>
      <c r="AL23" s="27"/>
      <c r="AM23" s="11">
        <f t="shared" si="10"/>
        <v>45575</v>
      </c>
      <c r="AN23" s="28">
        <f t="shared" ca="1" si="20"/>
        <v>16.5</v>
      </c>
      <c r="AO23" s="28">
        <f t="shared" ca="1" si="21"/>
        <v>8.25</v>
      </c>
      <c r="AP23">
        <f t="shared" si="11"/>
        <v>4.5</v>
      </c>
      <c r="AQ23" s="11">
        <f t="shared" ref="AQ23:AQ86" ca="1" si="23">IF(ISERROR(B23+(AK23/AN23)*(7/5)),AQ22,(B23+(AK23/AN23)*(7/5)))</f>
        <v>45582.127272727274</v>
      </c>
      <c r="AR23" s="29">
        <f ca="1">AK23/(NETWORKDAYS(B23,$AU$1,Days!$A$11:$A$25)-1)</f>
        <v>16.8</v>
      </c>
      <c r="AS23" s="29">
        <f t="shared" ca="1" si="17"/>
        <v>8.4</v>
      </c>
      <c r="AT23" s="27"/>
      <c r="AV23" s="10">
        <f t="shared" si="12"/>
        <v>1</v>
      </c>
      <c r="AW23" s="10">
        <f t="shared" si="13"/>
        <v>1</v>
      </c>
      <c r="AX23" s="10">
        <f t="shared" si="14"/>
        <v>0</v>
      </c>
      <c r="AY23" s="7">
        <f t="shared" si="15"/>
        <v>45575</v>
      </c>
      <c r="AZ23">
        <f ca="1">IF(B23&gt;TODAY(),"",SUM($V$3:V23)/SUM($AV$3:AV23))</f>
        <v>8.1666666666666661</v>
      </c>
      <c r="BA23">
        <f ca="1">IF(B23&gt;TODAY(),"",SUM($W$3:W23)/SUM($AW$3:AW23))</f>
        <v>15.153846153846153</v>
      </c>
      <c r="BB23" t="e">
        <f ca="1">IF(B23&gt;TODAY(),"",SUM($X$3:X23)/SUM($AX$3:AX23))</f>
        <v>#DIV/0!</v>
      </c>
    </row>
    <row r="24" spans="1:54" x14ac:dyDescent="0.25">
      <c r="A24" s="6" t="str">
        <f>VLOOKUP(WEEKDAY(B24,2),Days!$A$1:$B$7,2,0)</f>
        <v>Fri</v>
      </c>
      <c r="B24" s="7">
        <f t="shared" si="18"/>
        <v>45576</v>
      </c>
      <c r="C24" s="6">
        <f>IF(AND(A24&lt;&gt;"Sat",A24&lt;&gt;"Sun",ISERROR(VLOOKUP(B24,Days!$A$10:$A$38,1,0))),1,(IF(AF24&lt;&gt;0,1,0)))</f>
        <v>1</v>
      </c>
      <c r="D24" s="10">
        <v>1</v>
      </c>
      <c r="E24" s="10">
        <v>1</v>
      </c>
      <c r="F24" s="10">
        <v>0</v>
      </c>
      <c r="G24" s="27"/>
      <c r="H24" s="10">
        <v>0</v>
      </c>
      <c r="I24" s="10">
        <v>0</v>
      </c>
      <c r="J24" s="10">
        <v>0</v>
      </c>
      <c r="K24" s="27"/>
      <c r="L24">
        <f>$C24*H24*Days!$F$1</f>
        <v>0</v>
      </c>
      <c r="M24">
        <f>$C24*I24*Days!$F$1</f>
        <v>0</v>
      </c>
      <c r="N24">
        <f>$C24*J24*Days!$F$1</f>
        <v>0</v>
      </c>
      <c r="O24" s="27"/>
      <c r="P24">
        <f t="shared" ca="1" si="0"/>
        <v>10</v>
      </c>
      <c r="Q24">
        <f t="shared" ca="1" si="1"/>
        <v>4</v>
      </c>
      <c r="R24">
        <f t="shared" ca="1" si="2"/>
        <v>0</v>
      </c>
      <c r="S24" s="27"/>
      <c r="T24" s="7">
        <f t="shared" si="3"/>
        <v>45576</v>
      </c>
      <c r="U24" s="6">
        <f t="shared" si="4"/>
        <v>1</v>
      </c>
      <c r="V24">
        <f>COUNTIFS('2024 - L&amp;G R64 - Test Instances'!H:H,B24,'2024 - L&amp;G R64 - Test Instances'!L:L,$V$2,'2024 - L&amp;G R64 - Test Instances'!O:O,"Done")</f>
        <v>10</v>
      </c>
      <c r="W24">
        <f>COUNTIFS('2024 - L&amp;G R64 - Test Instances'!H:H,B24,'2024 - L&amp;G R64 - Test Instances'!L:L,$W$2,'2024 - L&amp;G R64 - Test Instances'!O:O,"Done")</f>
        <v>4</v>
      </c>
      <c r="X24">
        <f>COUNTIFS('2024 - L&amp;G R64 - Test Instances'!H:H,B24,'2024 - L&amp;G R64 - Test Instances'!L:L,$X$2,'2024 - L&amp;G R64 - Test Instances'!O:O,"Done")</f>
        <v>0</v>
      </c>
      <c r="Y24" s="27">
        <v>8</v>
      </c>
      <c r="Z24" s="29">
        <f ca="1">IF(B24&gt;TODAY(),"",SUM($V$3:V24)/SUM($D$3:D24))</f>
        <v>8.3076923076923084</v>
      </c>
      <c r="AA24" s="29">
        <f ca="1">IF(B24&gt;TODAY(),"",SUM($W$3:W24)/SUM($E$3:E24))</f>
        <v>13.4</v>
      </c>
      <c r="AB24" s="29" t="e">
        <f ca="1">IF(B24&gt;TODAY(),"",SUM($X$3:X24)/SUM($F$3:F24))</f>
        <v>#DIV/0!</v>
      </c>
      <c r="AC24" s="27"/>
      <c r="AD24" s="7">
        <f t="shared" si="5"/>
        <v>45576</v>
      </c>
      <c r="AE24" s="29">
        <f t="shared" si="6"/>
        <v>0</v>
      </c>
      <c r="AF24" s="37">
        <f t="shared" si="7"/>
        <v>14</v>
      </c>
      <c r="AG24" s="29">
        <f t="shared" ca="1" si="8"/>
        <v>21.707692307692309</v>
      </c>
      <c r="AH24" s="27"/>
      <c r="AI24" s="7">
        <f t="shared" si="9"/>
        <v>45576</v>
      </c>
      <c r="AJ24" s="15">
        <f t="shared" si="19"/>
        <v>66</v>
      </c>
      <c r="AK24" s="15">
        <f t="shared" ca="1" si="16"/>
        <v>70</v>
      </c>
      <c r="AL24" s="27"/>
      <c r="AM24" s="11">
        <f t="shared" si="10"/>
        <v>45576</v>
      </c>
      <c r="AN24" s="28">
        <f t="shared" ca="1" si="20"/>
        <v>16</v>
      </c>
      <c r="AO24" s="28">
        <f t="shared" ca="1" si="21"/>
        <v>8</v>
      </c>
      <c r="AP24">
        <f t="shared" si="11"/>
        <v>7</v>
      </c>
      <c r="AQ24" s="11">
        <f t="shared" ca="1" si="23"/>
        <v>45582.125</v>
      </c>
      <c r="AR24" s="29">
        <f ca="1">AK24/(NETWORKDAYS(B24,$AU$1,Days!$A$11:$A$25)-1)</f>
        <v>17.5</v>
      </c>
      <c r="AS24" s="29">
        <f t="shared" ca="1" si="17"/>
        <v>8.75</v>
      </c>
      <c r="AT24" s="27"/>
      <c r="AV24" s="10">
        <f t="shared" si="12"/>
        <v>1</v>
      </c>
      <c r="AW24" s="10">
        <f t="shared" si="13"/>
        <v>1</v>
      </c>
      <c r="AX24" s="10">
        <f t="shared" si="14"/>
        <v>0</v>
      </c>
      <c r="AY24" s="7">
        <f t="shared" si="15"/>
        <v>45576</v>
      </c>
      <c r="AZ24">
        <f ca="1">IF(B24&gt;TODAY(),"",SUM($V$3:V24)/SUM($AV$3:AV24))</f>
        <v>8.3076923076923084</v>
      </c>
      <c r="BA24">
        <f ca="1">IF(B24&gt;TODAY(),"",SUM($W$3:W24)/SUM($AW$3:AW24))</f>
        <v>14.357142857142858</v>
      </c>
      <c r="BB24" t="e">
        <f ca="1">IF(B24&gt;TODAY(),"",SUM($X$3:X24)/SUM($AX$3:AX24))</f>
        <v>#DIV/0!</v>
      </c>
    </row>
    <row r="25" spans="1:54" x14ac:dyDescent="0.25">
      <c r="A25" s="6" t="str">
        <f>VLOOKUP(WEEKDAY(B25,2),Days!$A$1:$B$7,2,0)</f>
        <v>Sat</v>
      </c>
      <c r="B25" s="7">
        <f t="shared" si="18"/>
        <v>45577</v>
      </c>
      <c r="C25" s="6">
        <f>IF(AND(A25&lt;&gt;"Sat",A25&lt;&gt;"Sun",ISERROR(VLOOKUP(B25,Days!$A$10:$A$38,1,0))),1,(IF(AF25&lt;&gt;0,1,0)))</f>
        <v>0</v>
      </c>
      <c r="D25" s="10">
        <v>0</v>
      </c>
      <c r="E25" s="10">
        <v>0</v>
      </c>
      <c r="F25" s="10">
        <v>0</v>
      </c>
      <c r="G25" s="27"/>
      <c r="H25" s="10">
        <v>0</v>
      </c>
      <c r="I25" s="10">
        <v>0</v>
      </c>
      <c r="J25" s="10">
        <v>0</v>
      </c>
      <c r="K25" s="27"/>
      <c r="L25">
        <f>$C25*H25*Days!$F$1</f>
        <v>0</v>
      </c>
      <c r="M25">
        <f>$C25*I25*Days!$F$1</f>
        <v>0</v>
      </c>
      <c r="N25">
        <f>$C25*J25*Days!$F$1</f>
        <v>0</v>
      </c>
      <c r="O25" s="27"/>
      <c r="P25">
        <f t="shared" ca="1" si="0"/>
        <v>0</v>
      </c>
      <c r="Q25">
        <f t="shared" ca="1" si="1"/>
        <v>0</v>
      </c>
      <c r="R25">
        <f t="shared" ca="1" si="2"/>
        <v>0</v>
      </c>
      <c r="S25" s="27"/>
      <c r="T25" s="7">
        <f t="shared" si="3"/>
        <v>45577</v>
      </c>
      <c r="U25" s="6">
        <f t="shared" si="4"/>
        <v>0</v>
      </c>
      <c r="V25">
        <f>COUNTIFS('2024 - L&amp;G R64 - Test Instances'!H:H,B25,'2024 - L&amp;G R64 - Test Instances'!L:L,$V$2,'2024 - L&amp;G R64 - Test Instances'!O:O,"Done")</f>
        <v>0</v>
      </c>
      <c r="W25">
        <f>COUNTIFS('2024 - L&amp;G R64 - Test Instances'!H:H,B25,'2024 - L&amp;G R64 - Test Instances'!L:L,$W$2,'2024 - L&amp;G R64 - Test Instances'!O:O,"Done")</f>
        <v>0</v>
      </c>
      <c r="X25">
        <f>COUNTIFS('2024 - L&amp;G R64 - Test Instances'!H:H,B25,'2024 - L&amp;G R64 - Test Instances'!L:L,$X$2,'2024 - L&amp;G R64 - Test Instances'!O:O,"Done")</f>
        <v>0</v>
      </c>
      <c r="Y25" s="27">
        <v>8</v>
      </c>
      <c r="Z25" s="29">
        <f ca="1">IF(B25&gt;TODAY(),"",SUM($V$3:V25)/SUM($D$3:D25))</f>
        <v>8.3076923076923084</v>
      </c>
      <c r="AA25" s="29">
        <f ca="1">IF(B25&gt;TODAY(),"",SUM($W$3:W25)/SUM($E$3:E25))</f>
        <v>13.4</v>
      </c>
      <c r="AB25" s="29" t="e">
        <f ca="1">IF(B25&gt;TODAY(),"",SUM($X$3:X25)/SUM($F$3:F25))</f>
        <v>#DIV/0!</v>
      </c>
      <c r="AC25" s="27"/>
      <c r="AD25" s="7">
        <f t="shared" si="5"/>
        <v>45577</v>
      </c>
      <c r="AE25" s="29">
        <f t="shared" si="6"/>
        <v>0</v>
      </c>
      <c r="AF25" s="37">
        <f t="shared" si="7"/>
        <v>0</v>
      </c>
      <c r="AG25" s="29">
        <f t="shared" ca="1" si="8"/>
        <v>21.707692307692309</v>
      </c>
      <c r="AH25" s="27"/>
      <c r="AI25" s="7">
        <f t="shared" si="9"/>
        <v>45577</v>
      </c>
      <c r="AJ25" s="15">
        <f t="shared" si="19"/>
        <v>66</v>
      </c>
      <c r="AK25" s="15">
        <f t="shared" ca="1" si="16"/>
        <v>70</v>
      </c>
      <c r="AL25" s="27"/>
      <c r="AM25" s="11">
        <f t="shared" si="10"/>
        <v>45577</v>
      </c>
      <c r="AN25" s="28">
        <f t="shared" ca="1" si="20"/>
        <v>13</v>
      </c>
      <c r="AO25" s="28">
        <f t="shared" ca="1" si="21"/>
        <v>6.5</v>
      </c>
      <c r="AP25">
        <f t="shared" si="11"/>
        <v>0</v>
      </c>
      <c r="AQ25" s="11">
        <f t="shared" ca="1" si="23"/>
        <v>45584.538461538461</v>
      </c>
      <c r="AR25" s="29">
        <f ca="1">AK25/(NETWORKDAYS(B25,$AU$1,Days!$A$11:$A$25)-1)</f>
        <v>23.333333333333332</v>
      </c>
      <c r="AS25" s="29">
        <f t="shared" ca="1" si="17"/>
        <v>11.666666666666666</v>
      </c>
      <c r="AT25" s="27"/>
      <c r="AV25" s="10">
        <f t="shared" si="12"/>
        <v>0</v>
      </c>
      <c r="AW25" s="10">
        <f t="shared" si="13"/>
        <v>0</v>
      </c>
      <c r="AX25" s="10">
        <f t="shared" si="14"/>
        <v>0</v>
      </c>
      <c r="AY25" s="7">
        <f t="shared" si="15"/>
        <v>45577</v>
      </c>
      <c r="AZ25">
        <f ca="1">IF(B25&gt;TODAY(),"",SUM($V$3:V25)/SUM($AV$3:AV25))</f>
        <v>8.3076923076923084</v>
      </c>
      <c r="BA25">
        <f ca="1">IF(B25&gt;TODAY(),"",SUM($W$3:W25)/SUM($AW$3:AW25))</f>
        <v>14.357142857142858</v>
      </c>
      <c r="BB25" t="e">
        <f ca="1">IF(B25&gt;TODAY(),"",SUM($X$3:X25)/SUM($AX$3:AX25))</f>
        <v>#DIV/0!</v>
      </c>
    </row>
    <row r="26" spans="1:54" x14ac:dyDescent="0.25">
      <c r="A26" s="6" t="str">
        <f>VLOOKUP(WEEKDAY(B26,2),Days!$A$1:$B$7,2,0)</f>
        <v>Sun</v>
      </c>
      <c r="B26" s="7">
        <f t="shared" si="18"/>
        <v>45578</v>
      </c>
      <c r="C26" s="6">
        <f>IF(AND(A26&lt;&gt;"Sat",A26&lt;&gt;"Sun",ISERROR(VLOOKUP(B26,Days!$A$10:$A$38,1,0))),1,(IF(AF26&lt;&gt;0,1,0)))</f>
        <v>0</v>
      </c>
      <c r="D26" s="10">
        <v>0</v>
      </c>
      <c r="E26" s="10">
        <v>0</v>
      </c>
      <c r="F26" s="10">
        <v>0</v>
      </c>
      <c r="G26" s="27"/>
      <c r="H26" s="10">
        <v>0</v>
      </c>
      <c r="I26" s="10">
        <v>0</v>
      </c>
      <c r="J26" s="10">
        <v>0</v>
      </c>
      <c r="K26" s="27"/>
      <c r="L26">
        <f>$C26*H26*Days!$F$1</f>
        <v>0</v>
      </c>
      <c r="M26">
        <f>$C26*I26*Days!$F$1</f>
        <v>0</v>
      </c>
      <c r="N26">
        <f>$C26*J26*Days!$F$1</f>
        <v>0</v>
      </c>
      <c r="O26" s="27"/>
      <c r="P26">
        <f t="shared" ca="1" si="0"/>
        <v>0</v>
      </c>
      <c r="Q26">
        <f t="shared" ca="1" si="1"/>
        <v>0</v>
      </c>
      <c r="R26">
        <f t="shared" ca="1" si="2"/>
        <v>0</v>
      </c>
      <c r="S26" s="27"/>
      <c r="T26" s="7">
        <f t="shared" si="3"/>
        <v>45578</v>
      </c>
      <c r="U26" s="6">
        <f t="shared" si="4"/>
        <v>0</v>
      </c>
      <c r="V26">
        <f>COUNTIFS('2024 - L&amp;G R64 - Test Instances'!H:H,B26,'2024 - L&amp;G R64 - Test Instances'!L:L,$V$2,'2024 - L&amp;G R64 - Test Instances'!O:O,"Done")</f>
        <v>0</v>
      </c>
      <c r="W26">
        <f>COUNTIFS('2024 - L&amp;G R64 - Test Instances'!H:H,B26,'2024 - L&amp;G R64 - Test Instances'!L:L,$W$2,'2024 - L&amp;G R64 - Test Instances'!O:O,"Done")</f>
        <v>0</v>
      </c>
      <c r="X26">
        <f>COUNTIFS('2024 - L&amp;G R64 - Test Instances'!H:H,B26,'2024 - L&amp;G R64 - Test Instances'!L:L,$X$2,'2024 - L&amp;G R64 - Test Instances'!O:O,"Done")</f>
        <v>0</v>
      </c>
      <c r="Y26" s="27">
        <v>8</v>
      </c>
      <c r="Z26" s="29">
        <f ca="1">IF(B26&gt;TODAY(),"",SUM($V$3:V26)/SUM($D$3:D26))</f>
        <v>8.3076923076923084</v>
      </c>
      <c r="AA26" s="29">
        <f ca="1">IF(B26&gt;TODAY(),"",SUM($W$3:W26)/SUM($E$3:E26))</f>
        <v>13.4</v>
      </c>
      <c r="AB26" s="29" t="e">
        <f ca="1">IF(B26&gt;TODAY(),"",SUM($X$3:X26)/SUM($F$3:F26))</f>
        <v>#DIV/0!</v>
      </c>
      <c r="AC26" s="27"/>
      <c r="AD26" s="7">
        <f t="shared" si="5"/>
        <v>45578</v>
      </c>
      <c r="AE26" s="29">
        <f t="shared" si="6"/>
        <v>0</v>
      </c>
      <c r="AF26" s="37">
        <f t="shared" si="7"/>
        <v>0</v>
      </c>
      <c r="AG26" s="29">
        <f t="shared" ca="1" si="8"/>
        <v>21.707692307692309</v>
      </c>
      <c r="AH26" s="27"/>
      <c r="AI26" s="7">
        <f t="shared" si="9"/>
        <v>45578</v>
      </c>
      <c r="AJ26" s="15">
        <f t="shared" si="19"/>
        <v>66</v>
      </c>
      <c r="AK26" s="15">
        <f t="shared" ca="1" si="16"/>
        <v>70</v>
      </c>
      <c r="AL26" s="27"/>
      <c r="AM26" s="11">
        <f t="shared" si="10"/>
        <v>45578</v>
      </c>
      <c r="AN26" s="28">
        <f t="shared" ca="1" si="20"/>
        <v>12.666666666666666</v>
      </c>
      <c r="AO26" s="28">
        <f t="shared" ca="1" si="21"/>
        <v>6.333333333333333</v>
      </c>
      <c r="AP26">
        <f t="shared" si="11"/>
        <v>0</v>
      </c>
      <c r="AQ26" s="11">
        <f t="shared" ca="1" si="23"/>
        <v>45585.73684210526</v>
      </c>
      <c r="AR26" s="29">
        <f ca="1">AK26/(NETWORKDAYS(B26,$AU$1,Days!$A$11:$A$25)-1)</f>
        <v>23.333333333333332</v>
      </c>
      <c r="AS26" s="29">
        <f t="shared" ca="1" si="17"/>
        <v>11.666666666666666</v>
      </c>
      <c r="AT26" s="27"/>
      <c r="AV26" s="10">
        <f t="shared" si="12"/>
        <v>0</v>
      </c>
      <c r="AW26" s="10">
        <f t="shared" si="13"/>
        <v>0</v>
      </c>
      <c r="AX26" s="10">
        <f t="shared" si="14"/>
        <v>0</v>
      </c>
      <c r="AY26" s="7">
        <f t="shared" si="15"/>
        <v>45578</v>
      </c>
      <c r="AZ26">
        <f ca="1">IF(B26&gt;TODAY(),"",SUM($V$3:V26)/SUM($AV$3:AV26))</f>
        <v>8.3076923076923084</v>
      </c>
      <c r="BA26">
        <f ca="1">IF(B26&gt;TODAY(),"",SUM($W$3:W26)/SUM($AW$3:AW26))</f>
        <v>14.357142857142858</v>
      </c>
      <c r="BB26" t="e">
        <f ca="1">IF(B26&gt;TODAY(),"",SUM($X$3:X26)/SUM($AX$3:AX26))</f>
        <v>#DIV/0!</v>
      </c>
    </row>
    <row r="27" spans="1:54" x14ac:dyDescent="0.25">
      <c r="A27" s="6" t="str">
        <f>VLOOKUP(WEEKDAY(B27,2),Days!$A$1:$B$7,2,0)</f>
        <v>Mon</v>
      </c>
      <c r="B27" s="7">
        <f t="shared" si="18"/>
        <v>45579</v>
      </c>
      <c r="C27" s="6">
        <f>IF(AND(A27&lt;&gt;"Sat",A27&lt;&gt;"Sun",ISERROR(VLOOKUP(B27,Days!$A$10:$A$38,1,0))),1,(IF(AF27&lt;&gt;0,1,0)))</f>
        <v>1</v>
      </c>
      <c r="D27" s="10">
        <v>1</v>
      </c>
      <c r="E27" s="10">
        <v>1</v>
      </c>
      <c r="F27" s="10">
        <v>0</v>
      </c>
      <c r="G27" s="27"/>
      <c r="H27" s="10">
        <v>0</v>
      </c>
      <c r="I27" s="10">
        <v>0</v>
      </c>
      <c r="J27" s="10">
        <v>0</v>
      </c>
      <c r="K27" s="27"/>
      <c r="L27">
        <f>$C27*H27*Days!$F$1</f>
        <v>0</v>
      </c>
      <c r="M27">
        <f>$C27*I27*Days!$F$1</f>
        <v>0</v>
      </c>
      <c r="N27">
        <f>$C27*J27*Days!$F$1</f>
        <v>0</v>
      </c>
      <c r="O27" s="27"/>
      <c r="P27">
        <f t="shared" ca="1" si="0"/>
        <v>7</v>
      </c>
      <c r="Q27">
        <f t="shared" ca="1" si="1"/>
        <v>10</v>
      </c>
      <c r="R27">
        <f t="shared" ca="1" si="2"/>
        <v>0</v>
      </c>
      <c r="S27" s="27"/>
      <c r="T27" s="7">
        <f t="shared" si="3"/>
        <v>45579</v>
      </c>
      <c r="U27" s="6">
        <f t="shared" si="4"/>
        <v>1</v>
      </c>
      <c r="V27">
        <f>COUNTIFS('2024 - L&amp;G R64 - Test Instances'!H:H,B27,'2024 - L&amp;G R64 - Test Instances'!L:L,$V$2,'2024 - L&amp;G R64 - Test Instances'!O:O,"Done")</f>
        <v>7</v>
      </c>
      <c r="W27">
        <f>COUNTIFS('2024 - L&amp;G R64 - Test Instances'!H:H,B27,'2024 - L&amp;G R64 - Test Instances'!L:L,$W$2,'2024 - L&amp;G R64 - Test Instances'!O:O,"Done")</f>
        <v>10</v>
      </c>
      <c r="X27">
        <f>COUNTIFS('2024 - L&amp;G R64 - Test Instances'!H:H,B27,'2024 - L&amp;G R64 - Test Instances'!L:L,$X$2,'2024 - L&amp;G R64 - Test Instances'!O:O,"Done")</f>
        <v>0</v>
      </c>
      <c r="Y27" s="27">
        <v>8</v>
      </c>
      <c r="Z27" s="29">
        <f ca="1">IF(B27&gt;TODAY(),"",SUM($V$3:V27)/SUM($D$3:D27))</f>
        <v>8.2142857142857135</v>
      </c>
      <c r="AA27" s="29">
        <f ca="1">IF(B27&gt;TODAY(),"",SUM($W$3:W27)/SUM($E$3:E27))</f>
        <v>13.1875</v>
      </c>
      <c r="AB27" s="29" t="e">
        <f ca="1">IF(B27&gt;TODAY(),"",SUM($X$3:X27)/SUM($F$3:F27))</f>
        <v>#DIV/0!</v>
      </c>
      <c r="AC27" s="27"/>
      <c r="AD27" s="7">
        <f t="shared" si="5"/>
        <v>45579</v>
      </c>
      <c r="AE27" s="29">
        <f t="shared" si="6"/>
        <v>0</v>
      </c>
      <c r="AF27" s="37">
        <f t="shared" si="7"/>
        <v>17</v>
      </c>
      <c r="AG27" s="29">
        <f t="shared" ca="1" si="8"/>
        <v>21.401785714285715</v>
      </c>
      <c r="AH27" s="27"/>
      <c r="AI27" s="7">
        <f t="shared" si="9"/>
        <v>45579</v>
      </c>
      <c r="AJ27" s="15">
        <f t="shared" si="19"/>
        <v>66</v>
      </c>
      <c r="AK27" s="15">
        <f t="shared" ca="1" si="16"/>
        <v>53</v>
      </c>
      <c r="AL27" s="27"/>
      <c r="AM27" s="11">
        <f t="shared" si="10"/>
        <v>45579</v>
      </c>
      <c r="AN27" s="28">
        <f t="shared" ca="1" si="20"/>
        <v>13.333333333333334</v>
      </c>
      <c r="AO27" s="28">
        <f t="shared" ca="1" si="21"/>
        <v>6.666666666666667</v>
      </c>
      <c r="AP27">
        <f t="shared" si="11"/>
        <v>8.5</v>
      </c>
      <c r="AQ27" s="11">
        <f t="shared" ca="1" si="23"/>
        <v>45584.565000000002</v>
      </c>
      <c r="AR27" s="29">
        <f ca="1">AK27/(NETWORKDAYS(B27,$AU$1,Days!$A$11:$A$25)-1)</f>
        <v>17.666666666666668</v>
      </c>
      <c r="AS27" s="29">
        <f t="shared" ca="1" si="17"/>
        <v>8.8333333333333339</v>
      </c>
      <c r="AT27" s="27"/>
      <c r="AV27" s="10">
        <f t="shared" si="12"/>
        <v>1</v>
      </c>
      <c r="AW27" s="10">
        <f t="shared" si="13"/>
        <v>1</v>
      </c>
      <c r="AX27" s="10">
        <f t="shared" si="14"/>
        <v>0</v>
      </c>
      <c r="AY27" s="7">
        <f t="shared" si="15"/>
        <v>45579</v>
      </c>
      <c r="AZ27">
        <f ca="1">IF(B27&gt;TODAY(),"",SUM($V$3:V27)/SUM($AV$3:AV27))</f>
        <v>8.2142857142857135</v>
      </c>
      <c r="BA27">
        <f ca="1">IF(B27&gt;TODAY(),"",SUM($W$3:W27)/SUM($AW$3:AW27))</f>
        <v>14.066666666666666</v>
      </c>
      <c r="BB27" t="e">
        <f ca="1">IF(B27&gt;TODAY(),"",SUM($X$3:X27)/SUM($AX$3:AX27))</f>
        <v>#DIV/0!</v>
      </c>
    </row>
    <row r="28" spans="1:54" x14ac:dyDescent="0.25">
      <c r="A28" s="6" t="str">
        <f>VLOOKUP(WEEKDAY(B28,2),Days!$A$1:$B$7,2,0)</f>
        <v>Tue</v>
      </c>
      <c r="B28" s="7">
        <f t="shared" si="18"/>
        <v>45580</v>
      </c>
      <c r="C28" s="6">
        <f>IF(AND(A28&lt;&gt;"Sat",A28&lt;&gt;"Sun",ISERROR(VLOOKUP(B28,Days!$A$10:$A$38,1,0))),1,(IF(AF28&lt;&gt;0,1,0)))</f>
        <v>1</v>
      </c>
      <c r="D28" s="10">
        <v>1</v>
      </c>
      <c r="E28" s="10">
        <v>1</v>
      </c>
      <c r="F28" s="10">
        <v>0</v>
      </c>
      <c r="G28" s="27"/>
      <c r="H28" s="10">
        <v>1</v>
      </c>
      <c r="I28" s="10">
        <v>1</v>
      </c>
      <c r="J28" s="10">
        <v>0</v>
      </c>
      <c r="K28" s="27"/>
      <c r="L28">
        <f>$C28*H28*Days!$F$1</f>
        <v>8</v>
      </c>
      <c r="M28">
        <f>$C28*I28*Days!$F$1</f>
        <v>8</v>
      </c>
      <c r="N28">
        <f>$C28*J28*Days!$F$1</f>
        <v>0</v>
      </c>
      <c r="O28" s="27"/>
      <c r="P28">
        <f t="shared" ca="1" si="0"/>
        <v>0</v>
      </c>
      <c r="Q28">
        <f t="shared" ca="1" si="1"/>
        <v>-4</v>
      </c>
      <c r="R28">
        <f t="shared" ca="1" si="2"/>
        <v>0</v>
      </c>
      <c r="S28" s="27"/>
      <c r="T28" s="7">
        <f t="shared" si="3"/>
        <v>45580</v>
      </c>
      <c r="U28" s="6">
        <f t="shared" si="4"/>
        <v>1</v>
      </c>
      <c r="V28">
        <f>COUNTIFS('2024 - L&amp;G R64 - Test Instances'!H:H,B28,'2024 - L&amp;G R64 - Test Instances'!L:L,$V$2,'2024 - L&amp;G R64 - Test Instances'!O:O,"Done")</f>
        <v>8</v>
      </c>
      <c r="W28">
        <f>COUNTIFS('2024 - L&amp;G R64 - Test Instances'!H:H,B28,'2024 - L&amp;G R64 - Test Instances'!L:L,$W$2,'2024 - L&amp;G R64 - Test Instances'!O:O,"Done")</f>
        <v>4</v>
      </c>
      <c r="X28">
        <f>COUNTIFS('2024 - L&amp;G R64 - Test Instances'!H:H,B28,'2024 - L&amp;G R64 - Test Instances'!L:L,$X$2,'2024 - L&amp;G R64 - Test Instances'!O:O,"Done")</f>
        <v>0</v>
      </c>
      <c r="Y28" s="27">
        <v>8</v>
      </c>
      <c r="Z28" s="29">
        <f ca="1">IF(B28&gt;TODAY(),"",SUM($V$3:V28)/SUM($D$3:D28))</f>
        <v>8.1999999999999993</v>
      </c>
      <c r="AA28" s="29">
        <f ca="1">IF(B28&gt;TODAY(),"",SUM($W$3:W28)/SUM($E$3:E28))</f>
        <v>12.647058823529411</v>
      </c>
      <c r="AB28" s="29" t="e">
        <f ca="1">IF(B28&gt;TODAY(),"",SUM($X$3:X28)/SUM($F$3:F28))</f>
        <v>#DIV/0!</v>
      </c>
      <c r="AC28" s="27"/>
      <c r="AD28" s="7">
        <f t="shared" si="5"/>
        <v>45580</v>
      </c>
      <c r="AE28" s="29">
        <f t="shared" si="6"/>
        <v>16</v>
      </c>
      <c r="AF28" s="37">
        <f t="shared" si="7"/>
        <v>12</v>
      </c>
      <c r="AG28" s="29">
        <f t="shared" ca="1" si="8"/>
        <v>20.847058823529409</v>
      </c>
      <c r="AH28" s="27"/>
      <c r="AI28" s="7">
        <f t="shared" si="9"/>
        <v>45580</v>
      </c>
      <c r="AJ28" s="15">
        <f t="shared" si="19"/>
        <v>50</v>
      </c>
      <c r="AK28" s="15">
        <f t="shared" ca="1" si="16"/>
        <v>41</v>
      </c>
      <c r="AL28" s="27"/>
      <c r="AM28" s="11">
        <f t="shared" si="10"/>
        <v>45580</v>
      </c>
      <c r="AN28" s="28">
        <f t="shared" ca="1" si="20"/>
        <v>14.333333333333334</v>
      </c>
      <c r="AO28" s="28">
        <f t="shared" ca="1" si="21"/>
        <v>7.166666666666667</v>
      </c>
      <c r="AP28">
        <f t="shared" si="11"/>
        <v>6</v>
      </c>
      <c r="AQ28" s="11">
        <f t="shared" ca="1" si="23"/>
        <v>45584.004651162788</v>
      </c>
      <c r="AR28" s="29">
        <f ca="1">AK28/(NETWORKDAYS(B28,$AU$1,Days!$A$11:$A$25)-1)</f>
        <v>20.5</v>
      </c>
      <c r="AS28" s="29">
        <f t="shared" ca="1" si="17"/>
        <v>10.25</v>
      </c>
      <c r="AT28" s="27"/>
      <c r="AV28" s="10">
        <f t="shared" si="12"/>
        <v>1</v>
      </c>
      <c r="AW28" s="10">
        <f t="shared" si="13"/>
        <v>1</v>
      </c>
      <c r="AX28" s="10">
        <f t="shared" si="14"/>
        <v>0</v>
      </c>
      <c r="AY28" s="7">
        <f t="shared" si="15"/>
        <v>45580</v>
      </c>
      <c r="AZ28">
        <f ca="1">IF(B28&gt;TODAY(),"",SUM($V$3:V28)/SUM($AV$3:AV28))</f>
        <v>8.1999999999999993</v>
      </c>
      <c r="BA28">
        <f ca="1">IF(B28&gt;TODAY(),"",SUM($W$3:W28)/SUM($AW$3:AW28))</f>
        <v>13.4375</v>
      </c>
      <c r="BB28" t="e">
        <f ca="1">IF(B28&gt;TODAY(),"",SUM($X$3:X28)/SUM($AX$3:AX28))</f>
        <v>#DIV/0!</v>
      </c>
    </row>
    <row r="29" spans="1:54" x14ac:dyDescent="0.25">
      <c r="A29" s="6" t="str">
        <f>VLOOKUP(WEEKDAY(B29,2),Days!$A$1:$B$7,2,0)</f>
        <v>Wed</v>
      </c>
      <c r="B29" s="7">
        <f t="shared" si="18"/>
        <v>45581</v>
      </c>
      <c r="C29" s="6">
        <f>IF(AND(A29&lt;&gt;"Sat",A29&lt;&gt;"Sun",ISERROR(VLOOKUP(B29,Days!$A$10:$A$38,1,0))),1,(IF(AF29&lt;&gt;0,1,0)))</f>
        <v>1</v>
      </c>
      <c r="D29" s="10">
        <v>1</v>
      </c>
      <c r="E29" s="10">
        <v>0</v>
      </c>
      <c r="F29" s="10">
        <v>0</v>
      </c>
      <c r="G29" s="27"/>
      <c r="H29" s="10">
        <v>1</v>
      </c>
      <c r="I29" s="10">
        <v>1</v>
      </c>
      <c r="J29" s="10">
        <v>0</v>
      </c>
      <c r="K29" s="27"/>
      <c r="L29">
        <f>$C29*H29*Days!$F$1</f>
        <v>8</v>
      </c>
      <c r="M29">
        <f>$C29*I29*Days!$F$1</f>
        <v>8</v>
      </c>
      <c r="N29">
        <f>$C29*J29*Days!$F$1</f>
        <v>0</v>
      </c>
      <c r="O29" s="27"/>
      <c r="P29">
        <f t="shared" ca="1" si="0"/>
        <v>-6</v>
      </c>
      <c r="Q29">
        <f t="shared" ca="1" si="1"/>
        <v>-8</v>
      </c>
      <c r="R29">
        <f t="shared" ca="1" si="2"/>
        <v>0</v>
      </c>
      <c r="S29" s="27"/>
      <c r="T29" s="7">
        <f t="shared" si="3"/>
        <v>45581</v>
      </c>
      <c r="U29" s="6">
        <f t="shared" si="4"/>
        <v>1</v>
      </c>
      <c r="V29">
        <f>COUNTIFS('2024 - L&amp;G R64 - Test Instances'!H:H,B29,'2024 - L&amp;G R64 - Test Instances'!L:L,$V$2,'2024 - L&amp;G R64 - Test Instances'!O:O,"Done")</f>
        <v>2</v>
      </c>
      <c r="W29">
        <f>COUNTIFS('2024 - L&amp;G R64 - Test Instances'!H:H,B29,'2024 - L&amp;G R64 - Test Instances'!L:L,$W$2,'2024 - L&amp;G R64 - Test Instances'!O:O,"Done")</f>
        <v>0</v>
      </c>
      <c r="X29">
        <f>COUNTIFS('2024 - L&amp;G R64 - Test Instances'!H:H,B29,'2024 - L&amp;G R64 - Test Instances'!L:L,$X$2,'2024 - L&amp;G R64 - Test Instances'!O:O,"Done")</f>
        <v>0</v>
      </c>
      <c r="Y29" s="27">
        <v>8</v>
      </c>
      <c r="Z29" s="29">
        <f ca="1">IF(B29&gt;TODAY(),"",SUM($V$3:V29)/SUM($D$3:D29))</f>
        <v>7.8125</v>
      </c>
      <c r="AA29" s="29">
        <f ca="1">IF(B29&gt;TODAY(),"",SUM($W$3:W29)/SUM($E$3:E29))</f>
        <v>12.647058823529411</v>
      </c>
      <c r="AB29" s="29" t="e">
        <f ca="1">IF(B29&gt;TODAY(),"",SUM($X$3:X29)/SUM($F$3:F29))</f>
        <v>#DIV/0!</v>
      </c>
      <c r="AC29" s="27"/>
      <c r="AD29" s="7">
        <f t="shared" si="5"/>
        <v>45581</v>
      </c>
      <c r="AE29" s="29">
        <f t="shared" si="6"/>
        <v>16</v>
      </c>
      <c r="AF29" s="37">
        <f t="shared" si="7"/>
        <v>2</v>
      </c>
      <c r="AG29" s="29">
        <f t="shared" ca="1" si="8"/>
        <v>20.459558823529413</v>
      </c>
      <c r="AH29" s="27"/>
      <c r="AI29" s="7">
        <f t="shared" si="9"/>
        <v>45581</v>
      </c>
      <c r="AJ29" s="15">
        <f t="shared" si="19"/>
        <v>34</v>
      </c>
      <c r="AK29" s="15">
        <f t="shared" ca="1" si="16"/>
        <v>39</v>
      </c>
      <c r="AL29" s="27"/>
      <c r="AM29" s="11">
        <f t="shared" si="10"/>
        <v>45581</v>
      </c>
      <c r="AN29" s="28">
        <f t="shared" ca="1" si="20"/>
        <v>10.333333333333334</v>
      </c>
      <c r="AO29" s="28">
        <f t="shared" ca="1" si="21"/>
        <v>6.2</v>
      </c>
      <c r="AP29">
        <f t="shared" si="11"/>
        <v>2</v>
      </c>
      <c r="AQ29" s="11">
        <f t="shared" ca="1" si="23"/>
        <v>45586.283870967745</v>
      </c>
      <c r="AR29" s="29">
        <f ca="1">AK29/(NETWORKDAYS(B29,$AU$1,Days!$A$11:$A$25)-1)</f>
        <v>39</v>
      </c>
      <c r="AS29" s="29">
        <f t="shared" ca="1" si="17"/>
        <v>19.5</v>
      </c>
      <c r="AT29" s="27"/>
      <c r="AV29" s="10">
        <f t="shared" si="12"/>
        <v>1</v>
      </c>
      <c r="AW29" s="10">
        <f t="shared" si="13"/>
        <v>0</v>
      </c>
      <c r="AX29" s="10">
        <f t="shared" si="14"/>
        <v>0</v>
      </c>
      <c r="AY29" s="7">
        <f t="shared" si="15"/>
        <v>45581</v>
      </c>
      <c r="AZ29">
        <f ca="1">IF(B29&gt;TODAY(),"",SUM($V$3:V29)/SUM($AV$3:AV29))</f>
        <v>7.8125</v>
      </c>
      <c r="BA29">
        <f ca="1">IF(B29&gt;TODAY(),"",SUM($W$3:W29)/SUM($AW$3:AW29))</f>
        <v>13.4375</v>
      </c>
      <c r="BB29" t="e">
        <f ca="1">IF(B29&gt;TODAY(),"",SUM($X$3:X29)/SUM($AX$3:AX29))</f>
        <v>#DIV/0!</v>
      </c>
    </row>
    <row r="30" spans="1:54" x14ac:dyDescent="0.25">
      <c r="A30" s="6" t="str">
        <f>VLOOKUP(WEEKDAY(B30,2),Days!$A$1:$B$7,2,0)</f>
        <v>Thu</v>
      </c>
      <c r="B30" s="7">
        <f t="shared" si="18"/>
        <v>45582</v>
      </c>
      <c r="C30" s="6">
        <f>IF(AND(A30&lt;&gt;"Sat",A30&lt;&gt;"Sun",ISERROR(VLOOKUP(B30,Days!$A$10:$A$38,1,0))),1,(IF(AF30&lt;&gt;0,1,0)))</f>
        <v>1</v>
      </c>
      <c r="D30" s="10">
        <v>1</v>
      </c>
      <c r="E30" s="10">
        <v>1</v>
      </c>
      <c r="F30" s="10">
        <v>0</v>
      </c>
      <c r="G30" s="27"/>
      <c r="H30" s="10">
        <v>1</v>
      </c>
      <c r="I30" s="10">
        <v>1</v>
      </c>
      <c r="J30" s="10">
        <v>0</v>
      </c>
      <c r="K30" s="27"/>
      <c r="L30">
        <f>$C30*H30*Days!$F$1</f>
        <v>8</v>
      </c>
      <c r="M30">
        <f>$C30*I30*Days!$F$1</f>
        <v>8</v>
      </c>
      <c r="N30">
        <f>$C30*J30*Days!$F$1</f>
        <v>0</v>
      </c>
      <c r="O30" s="27"/>
      <c r="P30">
        <f t="shared" ca="1" si="0"/>
        <v>-8</v>
      </c>
      <c r="Q30">
        <f t="shared" ca="1" si="1"/>
        <v>-8</v>
      </c>
      <c r="R30">
        <f t="shared" ca="1" si="2"/>
        <v>0</v>
      </c>
      <c r="S30" s="27"/>
      <c r="T30" s="7">
        <f t="shared" si="3"/>
        <v>45582</v>
      </c>
      <c r="U30" s="6">
        <f t="shared" si="4"/>
        <v>1</v>
      </c>
      <c r="V30">
        <f>COUNTIFS('2024 - L&amp;G R64 - Test Instances'!H:H,B30,'2024 - L&amp;G R64 - Test Instances'!L:L,$V$2,'2024 - L&amp;G R64 - Test Instances'!O:O,"Done")</f>
        <v>0</v>
      </c>
      <c r="W30">
        <f>COUNTIFS('2024 - L&amp;G R64 - Test Instances'!H:H,B30,'2024 - L&amp;G R64 - Test Instances'!L:L,$W$2,'2024 - L&amp;G R64 - Test Instances'!O:O,"Done")</f>
        <v>0</v>
      </c>
      <c r="X30">
        <f>COUNTIFS('2024 - L&amp;G R64 - Test Instances'!H:H,B30,'2024 - L&amp;G R64 - Test Instances'!L:L,$X$2,'2024 - L&amp;G R64 - Test Instances'!O:O,"Done")</f>
        <v>0</v>
      </c>
      <c r="Y30" s="27">
        <v>8</v>
      </c>
      <c r="Z30" s="29">
        <f ca="1">IF(B30&gt;TODAY(),"",SUM($V$3:V30)/SUM($D$3:D30))</f>
        <v>7.3529411764705879</v>
      </c>
      <c r="AA30" s="29">
        <f ca="1">IF(B30&gt;TODAY(),"",SUM($W$3:W30)/SUM($E$3:E30))</f>
        <v>11.944444444444445</v>
      </c>
      <c r="AB30" s="29" t="e">
        <f ca="1">IF(B30&gt;TODAY(),"",SUM($X$3:X30)/SUM($F$3:F30))</f>
        <v>#DIV/0!</v>
      </c>
      <c r="AC30" s="27"/>
      <c r="AD30" s="7">
        <f t="shared" si="5"/>
        <v>45582</v>
      </c>
      <c r="AE30" s="29">
        <f t="shared" si="6"/>
        <v>16</v>
      </c>
      <c r="AF30" s="37">
        <f t="shared" si="7"/>
        <v>0</v>
      </c>
      <c r="AG30" s="29">
        <f t="shared" ca="1" si="8"/>
        <v>19.297385620915033</v>
      </c>
      <c r="AH30" s="27"/>
      <c r="AI30" s="7">
        <f t="shared" si="9"/>
        <v>45582</v>
      </c>
      <c r="AJ30" s="15">
        <f t="shared" si="19"/>
        <v>18</v>
      </c>
      <c r="AK30" s="15">
        <f t="shared" ca="1" si="16"/>
        <v>39</v>
      </c>
      <c r="AL30" s="27"/>
      <c r="AM30" s="11">
        <f t="shared" si="10"/>
        <v>45582</v>
      </c>
      <c r="AN30" s="28">
        <f t="shared" ca="1" si="20"/>
        <v>7.75</v>
      </c>
      <c r="AO30" s="28">
        <f t="shared" ca="1" si="21"/>
        <v>4.4285714285714288</v>
      </c>
      <c r="AP30">
        <f t="shared" si="11"/>
        <v>0</v>
      </c>
      <c r="AQ30" s="11">
        <f t="shared" ca="1" si="23"/>
        <v>45589.04516129032</v>
      </c>
      <c r="AR30" s="29" t="e">
        <f ca="1">AK30/(NETWORKDAYS(B30,$AU$1,Days!$A$11:$A$25)-1)</f>
        <v>#DIV/0!</v>
      </c>
      <c r="AS30" s="29" t="e">
        <f t="shared" ca="1" si="17"/>
        <v>#DIV/0!</v>
      </c>
      <c r="AT30" s="27"/>
      <c r="AV30" s="10">
        <f t="shared" si="12"/>
        <v>0</v>
      </c>
      <c r="AW30" s="10">
        <f t="shared" si="13"/>
        <v>0</v>
      </c>
      <c r="AX30" s="10">
        <f t="shared" si="14"/>
        <v>0</v>
      </c>
      <c r="AY30" s="7">
        <f t="shared" si="15"/>
        <v>45582</v>
      </c>
      <c r="AZ30">
        <f ca="1">IF(B30&gt;TODAY(),"",SUM($V$3:V30)/SUM($AV$3:AV30))</f>
        <v>7.8125</v>
      </c>
      <c r="BA30">
        <f ca="1">IF(B30&gt;TODAY(),"",SUM($W$3:W30)/SUM($AW$3:AW30))</f>
        <v>13.4375</v>
      </c>
      <c r="BB30" t="e">
        <f ca="1">IF(B30&gt;TODAY(),"",SUM($X$3:X30)/SUM($AX$3:AX30))</f>
        <v>#DIV/0!</v>
      </c>
    </row>
    <row r="31" spans="1:54" x14ac:dyDescent="0.25">
      <c r="A31" s="6" t="str">
        <f>VLOOKUP(WEEKDAY(B31,2),Days!$A$1:$B$7,2,0)</f>
        <v>Fri</v>
      </c>
      <c r="B31" s="7">
        <f t="shared" si="18"/>
        <v>45583</v>
      </c>
      <c r="C31" s="6">
        <f>IF(AND(A31&lt;&gt;"Sat",A31&lt;&gt;"Sun",ISERROR(VLOOKUP(B31,Days!$A$10:$A$38,1,0))),1,(IF(AF31&lt;&gt;0,1,0)))</f>
        <v>1</v>
      </c>
      <c r="D31" s="10"/>
      <c r="E31" s="10"/>
      <c r="F31" s="10"/>
      <c r="G31" s="27"/>
      <c r="H31" s="10">
        <v>1</v>
      </c>
      <c r="I31" s="10">
        <v>1</v>
      </c>
      <c r="J31" s="10">
        <v>0</v>
      </c>
      <c r="K31" s="27"/>
      <c r="L31">
        <f>$C31*H31*Days!$F$1</f>
        <v>8</v>
      </c>
      <c r="M31">
        <f>$C31*I31*Days!$F$1</f>
        <v>8</v>
      </c>
      <c r="N31">
        <f>$C31*J31*Days!$F$1</f>
        <v>0</v>
      </c>
      <c r="O31" s="27"/>
      <c r="P31">
        <f t="shared" ca="1" si="0"/>
        <v>-8</v>
      </c>
      <c r="Q31">
        <f t="shared" ca="1" si="1"/>
        <v>-8</v>
      </c>
      <c r="R31">
        <f t="shared" ca="1" si="2"/>
        <v>0</v>
      </c>
      <c r="S31" s="27"/>
      <c r="T31" s="7">
        <f t="shared" si="3"/>
        <v>45583</v>
      </c>
      <c r="U31" s="6">
        <f t="shared" si="4"/>
        <v>1</v>
      </c>
      <c r="V31">
        <f>COUNTIFS('2024 - L&amp;G R64 - Test Instances'!H:H,B31,'2024 - L&amp;G R64 - Test Instances'!L:L,$V$2,'2024 - L&amp;G R64 - Test Instances'!O:O,"Done")</f>
        <v>0</v>
      </c>
      <c r="W31">
        <f>COUNTIFS('2024 - L&amp;G R64 - Test Instances'!H:H,B31,'2024 - L&amp;G R64 - Test Instances'!L:L,$W$2,'2024 - L&amp;G R64 - Test Instances'!O:O,"Done")</f>
        <v>0</v>
      </c>
      <c r="X31">
        <f>COUNTIFS('2024 - L&amp;G R64 - Test Instances'!H:H,B31,'2024 - L&amp;G R64 - Test Instances'!L:L,$X$2,'2024 - L&amp;G R64 - Test Instances'!O:O,"Done")</f>
        <v>0</v>
      </c>
      <c r="Y31" s="27">
        <v>8</v>
      </c>
      <c r="Z31" s="29">
        <f ca="1">IF(B31&gt;TODAY(),"",SUM($V$3:V31)/SUM($D$3:D31))</f>
        <v>7.3529411764705879</v>
      </c>
      <c r="AA31" s="29">
        <f ca="1">IF(B31&gt;TODAY(),"",SUM($W$3:W31)/SUM($E$3:E31))</f>
        <v>11.944444444444445</v>
      </c>
      <c r="AB31" s="29" t="e">
        <f ca="1">IF(B31&gt;TODAY(),"",SUM($X$3:X31)/SUM($F$3:F31))</f>
        <v>#DIV/0!</v>
      </c>
      <c r="AC31" s="27"/>
      <c r="AD31" s="7">
        <f t="shared" si="5"/>
        <v>45583</v>
      </c>
      <c r="AE31" s="29">
        <f t="shared" si="6"/>
        <v>16</v>
      </c>
      <c r="AF31" s="37">
        <f t="shared" si="7"/>
        <v>0</v>
      </c>
      <c r="AG31" s="29">
        <f t="shared" ca="1" si="8"/>
        <v>19.297385620915033</v>
      </c>
      <c r="AH31" s="27"/>
      <c r="AI31" s="7">
        <f t="shared" si="9"/>
        <v>45583</v>
      </c>
      <c r="AJ31" s="15">
        <f t="shared" si="19"/>
        <v>2</v>
      </c>
      <c r="AK31" s="15">
        <f t="shared" ca="1" si="16"/>
        <v>39</v>
      </c>
      <c r="AL31" s="27"/>
      <c r="AM31" s="11">
        <f t="shared" si="10"/>
        <v>45583</v>
      </c>
      <c r="AN31" s="28">
        <f t="shared" ca="1" si="20"/>
        <v>6.2</v>
      </c>
      <c r="AO31" s="28">
        <f t="shared" ca="1" si="21"/>
        <v>4.4285714285714288</v>
      </c>
      <c r="AP31">
        <f t="shared" si="11"/>
        <v>0</v>
      </c>
      <c r="AQ31" s="11">
        <f t="shared" ca="1" si="23"/>
        <v>45591.806451612902</v>
      </c>
      <c r="AR31" s="29">
        <f ca="1">AK31/(NETWORKDAYS(B31,$AU$1,Days!$A$11:$A$25)-1)</f>
        <v>-13</v>
      </c>
      <c r="AS31" s="29">
        <f t="shared" ca="1" si="17"/>
        <v>-6.5</v>
      </c>
      <c r="AT31" s="27"/>
      <c r="AV31" s="10">
        <f t="shared" si="12"/>
        <v>0</v>
      </c>
      <c r="AW31" s="10">
        <f t="shared" si="13"/>
        <v>0</v>
      </c>
      <c r="AX31" s="10">
        <f t="shared" si="14"/>
        <v>0</v>
      </c>
      <c r="AY31" s="7">
        <f t="shared" si="15"/>
        <v>45583</v>
      </c>
      <c r="AZ31">
        <f ca="1">IF(B31&gt;TODAY(),"",SUM($V$3:V31)/SUM($AV$3:AV31))</f>
        <v>7.8125</v>
      </c>
      <c r="BA31">
        <f ca="1">IF(B31&gt;TODAY(),"",SUM($W$3:W31)/SUM($AW$3:AW31))</f>
        <v>13.4375</v>
      </c>
      <c r="BB31" t="e">
        <f ca="1">IF(B31&gt;TODAY(),"",SUM($X$3:X31)/SUM($AX$3:AX31))</f>
        <v>#DIV/0!</v>
      </c>
    </row>
    <row r="32" spans="1:54" x14ac:dyDescent="0.25">
      <c r="A32" s="6" t="str">
        <f>VLOOKUP(WEEKDAY(B32,2),Days!$A$1:$B$7,2,0)</f>
        <v>Sat</v>
      </c>
      <c r="B32" s="7">
        <f t="shared" si="18"/>
        <v>45584</v>
      </c>
      <c r="C32" s="6">
        <f>IF(AND(A32&lt;&gt;"Sat",A32&lt;&gt;"Sun",ISERROR(VLOOKUP(B32,Days!$A$10:$A$38,1,0))),1,(IF(AF32&lt;&gt;0,1,0)))</f>
        <v>0</v>
      </c>
      <c r="D32" s="10"/>
      <c r="E32" s="10"/>
      <c r="F32" s="10"/>
      <c r="G32" s="27"/>
      <c r="H32" s="10">
        <v>0</v>
      </c>
      <c r="I32" s="10">
        <v>0</v>
      </c>
      <c r="J32" s="10">
        <v>0</v>
      </c>
      <c r="K32" s="27"/>
      <c r="L32">
        <f>$C32*H32*Days!$F$1</f>
        <v>0</v>
      </c>
      <c r="M32">
        <f>$C32*I32*Days!$F$1</f>
        <v>0</v>
      </c>
      <c r="N32">
        <f>$C32*J32*Days!$F$1</f>
        <v>0</v>
      </c>
      <c r="O32" s="27"/>
      <c r="P32">
        <f t="shared" ca="1" si="0"/>
        <v>0</v>
      </c>
      <c r="Q32">
        <f t="shared" ca="1" si="1"/>
        <v>0</v>
      </c>
      <c r="R32">
        <f t="shared" ca="1" si="2"/>
        <v>0</v>
      </c>
      <c r="S32" s="27"/>
      <c r="T32" s="7">
        <f t="shared" si="3"/>
        <v>45584</v>
      </c>
      <c r="U32" s="6">
        <f t="shared" si="4"/>
        <v>0</v>
      </c>
      <c r="V32">
        <f>COUNTIFS('2024 - L&amp;G R64 - Test Instances'!H:H,B32,'2024 - L&amp;G R64 - Test Instances'!L:L,$V$2,'2024 - L&amp;G R64 - Test Instances'!O:O,"Done")</f>
        <v>0</v>
      </c>
      <c r="W32">
        <f>COUNTIFS('2024 - L&amp;G R64 - Test Instances'!H:H,B32,'2024 - L&amp;G R64 - Test Instances'!L:L,$W$2,'2024 - L&amp;G R64 - Test Instances'!O:O,"Done")</f>
        <v>0</v>
      </c>
      <c r="X32">
        <f>COUNTIFS('2024 - L&amp;G R64 - Test Instances'!H:H,B32,'2024 - L&amp;G R64 - Test Instances'!L:L,$X$2,'2024 - L&amp;G R64 - Test Instances'!O:O,"Done")</f>
        <v>0</v>
      </c>
      <c r="Y32" s="27">
        <v>8</v>
      </c>
      <c r="Z32" s="29">
        <f ca="1">IF(B32&gt;TODAY(),"",SUM($V$3:V32)/SUM($D$3:D32))</f>
        <v>7.3529411764705879</v>
      </c>
      <c r="AA32" s="29">
        <f ca="1">IF(B32&gt;TODAY(),"",SUM($W$3:W32)/SUM($E$3:E32))</f>
        <v>11.944444444444445</v>
      </c>
      <c r="AB32" s="29" t="e">
        <f ca="1">IF(B32&gt;TODAY(),"",SUM($X$3:X32)/SUM($F$3:F32))</f>
        <v>#DIV/0!</v>
      </c>
      <c r="AC32" s="27"/>
      <c r="AD32" s="7">
        <f t="shared" si="5"/>
        <v>45584</v>
      </c>
      <c r="AE32" s="29">
        <f t="shared" si="6"/>
        <v>0</v>
      </c>
      <c r="AF32" s="37">
        <f t="shared" si="7"/>
        <v>0</v>
      </c>
      <c r="AG32" s="29">
        <f t="shared" ca="1" si="8"/>
        <v>19.297385620915033</v>
      </c>
      <c r="AH32" s="27"/>
      <c r="AI32" s="7">
        <f t="shared" si="9"/>
        <v>45584</v>
      </c>
      <c r="AJ32" s="15">
        <f t="shared" si="19"/>
        <v>2</v>
      </c>
      <c r="AK32" s="15">
        <f t="shared" ca="1" si="16"/>
        <v>39</v>
      </c>
      <c r="AL32" s="27"/>
      <c r="AM32" s="11">
        <f t="shared" si="10"/>
        <v>45584</v>
      </c>
      <c r="AN32" s="28">
        <f t="shared" ca="1" si="20"/>
        <v>3.5</v>
      </c>
      <c r="AO32" s="28">
        <f t="shared" ca="1" si="21"/>
        <v>2.8</v>
      </c>
      <c r="AP32">
        <f t="shared" si="11"/>
        <v>0</v>
      </c>
      <c r="AQ32" s="11">
        <f t="shared" ca="1" si="23"/>
        <v>45599.6</v>
      </c>
      <c r="AR32" s="29">
        <f ca="1">AK32/(NETWORKDAYS(B32,$AU$1,Days!$A$11:$A$25)-1)</f>
        <v>-13</v>
      </c>
      <c r="AS32" s="29">
        <f t="shared" ca="1" si="17"/>
        <v>-6.5</v>
      </c>
      <c r="AT32" s="27"/>
      <c r="AV32" s="10">
        <f t="shared" si="12"/>
        <v>0</v>
      </c>
      <c r="AW32" s="10">
        <f t="shared" si="13"/>
        <v>0</v>
      </c>
      <c r="AX32" s="10">
        <f t="shared" si="14"/>
        <v>0</v>
      </c>
      <c r="AY32" s="7">
        <f t="shared" si="15"/>
        <v>45584</v>
      </c>
      <c r="AZ32">
        <f ca="1">IF(B32&gt;TODAY(),"",SUM($V$3:V32)/SUM($AV$3:AV32))</f>
        <v>7.8125</v>
      </c>
      <c r="BA32">
        <f ca="1">IF(B32&gt;TODAY(),"",SUM($W$3:W32)/SUM($AW$3:AW32))</f>
        <v>13.4375</v>
      </c>
      <c r="BB32" t="e">
        <f ca="1">IF(B32&gt;TODAY(),"",SUM($X$3:X32)/SUM($AX$3:AX32))</f>
        <v>#DIV/0!</v>
      </c>
    </row>
    <row r="33" spans="1:54" x14ac:dyDescent="0.25">
      <c r="A33" s="6" t="str">
        <f>VLOOKUP(WEEKDAY(B33,2),Days!$A$1:$B$7,2,0)</f>
        <v>Sun</v>
      </c>
      <c r="B33" s="7">
        <f t="shared" si="18"/>
        <v>45585</v>
      </c>
      <c r="C33" s="6">
        <f>IF(AND(A33&lt;&gt;"Sat",A33&lt;&gt;"Sun",ISERROR(VLOOKUP(B33,Days!$A$10:$A$38,1,0))),1,(IF(AF33&lt;&gt;0,1,0)))</f>
        <v>0</v>
      </c>
      <c r="D33" s="10"/>
      <c r="E33" s="10"/>
      <c r="F33" s="10"/>
      <c r="G33" s="27"/>
      <c r="H33" s="10">
        <v>0</v>
      </c>
      <c r="I33" s="10">
        <v>0</v>
      </c>
      <c r="J33" s="10">
        <v>0</v>
      </c>
      <c r="K33" s="27"/>
      <c r="L33">
        <f>$C33*H33*Days!$F$1</f>
        <v>0</v>
      </c>
      <c r="M33">
        <f>$C33*I33*Days!$F$1</f>
        <v>0</v>
      </c>
      <c r="N33">
        <f>$C33*J33*Days!$F$1</f>
        <v>0</v>
      </c>
      <c r="O33" s="27"/>
      <c r="P33">
        <f t="shared" ca="1" si="0"/>
        <v>0</v>
      </c>
      <c r="Q33">
        <f t="shared" ca="1" si="1"/>
        <v>0</v>
      </c>
      <c r="R33">
        <f t="shared" ca="1" si="2"/>
        <v>0</v>
      </c>
      <c r="S33" s="27"/>
      <c r="T33" s="7">
        <f t="shared" si="3"/>
        <v>45585</v>
      </c>
      <c r="U33" s="6">
        <f t="shared" si="4"/>
        <v>0</v>
      </c>
      <c r="V33">
        <f>COUNTIFS('2024 - L&amp;G R64 - Test Instances'!H:H,B33,'2024 - L&amp;G R64 - Test Instances'!L:L,$V$2,'2024 - L&amp;G R64 - Test Instances'!O:O,"Done")</f>
        <v>0</v>
      </c>
      <c r="W33">
        <f>COUNTIFS('2024 - L&amp;G R64 - Test Instances'!H:H,B33,'2024 - L&amp;G R64 - Test Instances'!L:L,$W$2,'2024 - L&amp;G R64 - Test Instances'!O:O,"Done")</f>
        <v>0</v>
      </c>
      <c r="X33">
        <f>COUNTIFS('2024 - L&amp;G R64 - Test Instances'!H:H,B33,'2024 - L&amp;G R64 - Test Instances'!L:L,$X$2,'2024 - L&amp;G R64 - Test Instances'!O:O,"Done")</f>
        <v>0</v>
      </c>
      <c r="Y33" s="27">
        <v>8</v>
      </c>
      <c r="Z33" s="29">
        <f ca="1">IF(B33&gt;TODAY(),"",SUM($V$3:V33)/SUM($D$3:D33))</f>
        <v>7.3529411764705879</v>
      </c>
      <c r="AA33" s="29">
        <f ca="1">IF(B33&gt;TODAY(),"",SUM($W$3:W33)/SUM($E$3:E33))</f>
        <v>11.944444444444445</v>
      </c>
      <c r="AB33" s="29" t="e">
        <f ca="1">IF(B33&gt;TODAY(),"",SUM($X$3:X33)/SUM($F$3:F33))</f>
        <v>#DIV/0!</v>
      </c>
      <c r="AC33" s="27"/>
      <c r="AD33" s="7">
        <f t="shared" si="5"/>
        <v>45585</v>
      </c>
      <c r="AE33" s="29">
        <f t="shared" si="6"/>
        <v>0</v>
      </c>
      <c r="AF33" s="37">
        <f t="shared" si="7"/>
        <v>0</v>
      </c>
      <c r="AG33" s="29">
        <f t="shared" ca="1" si="8"/>
        <v>19.297385620915033</v>
      </c>
      <c r="AH33" s="27"/>
      <c r="AI33" s="7">
        <f t="shared" si="9"/>
        <v>45585</v>
      </c>
      <c r="AJ33" s="15">
        <f t="shared" si="19"/>
        <v>2</v>
      </c>
      <c r="AK33" s="15">
        <f t="shared" ca="1" si="16"/>
        <v>39</v>
      </c>
      <c r="AL33" s="27"/>
      <c r="AM33" s="11">
        <f t="shared" si="10"/>
        <v>45585</v>
      </c>
      <c r="AN33" s="28">
        <f t="shared" ca="1" si="20"/>
        <v>0.66666666666666663</v>
      </c>
      <c r="AO33" s="28">
        <f t="shared" ca="1" si="21"/>
        <v>0.66666666666666663</v>
      </c>
      <c r="AP33">
        <f t="shared" si="11"/>
        <v>0</v>
      </c>
      <c r="AQ33" s="11">
        <f t="shared" ca="1" si="23"/>
        <v>45666.9</v>
      </c>
      <c r="AR33" s="29">
        <f ca="1">AK33/(NETWORKDAYS(B33,$AU$1,Days!$A$11:$A$25)-1)</f>
        <v>-13</v>
      </c>
      <c r="AS33" s="29">
        <f t="shared" ca="1" si="17"/>
        <v>-6.5</v>
      </c>
      <c r="AT33" s="27"/>
      <c r="AV33" s="10">
        <f t="shared" si="12"/>
        <v>0</v>
      </c>
      <c r="AW33" s="10">
        <f t="shared" si="13"/>
        <v>0</v>
      </c>
      <c r="AX33" s="10">
        <f t="shared" si="14"/>
        <v>0</v>
      </c>
      <c r="AY33" s="7">
        <f t="shared" si="15"/>
        <v>45585</v>
      </c>
      <c r="AZ33">
        <f ca="1">IF(B33&gt;TODAY(),"",SUM($V$3:V33)/SUM($AV$3:AV33))</f>
        <v>7.8125</v>
      </c>
      <c r="BA33">
        <f ca="1">IF(B33&gt;TODAY(),"",SUM($W$3:W33)/SUM($AW$3:AW33))</f>
        <v>13.4375</v>
      </c>
      <c r="BB33" t="e">
        <f ca="1">IF(B33&gt;TODAY(),"",SUM($X$3:X33)/SUM($AX$3:AX33))</f>
        <v>#DIV/0!</v>
      </c>
    </row>
    <row r="34" spans="1:54" x14ac:dyDescent="0.25">
      <c r="A34" s="6" t="str">
        <f>VLOOKUP(WEEKDAY(B34,2),Days!$A$1:$B$7,2,0)</f>
        <v>Mon</v>
      </c>
      <c r="B34" s="7">
        <f t="shared" si="18"/>
        <v>45586</v>
      </c>
      <c r="C34" s="6">
        <f>IF(AND(A34&lt;&gt;"Sat",A34&lt;&gt;"Sun",ISERROR(VLOOKUP(B34,Days!$A$10:$A$38,1,0))),1,(IF(AF34&lt;&gt;0,1,0)))</f>
        <v>1</v>
      </c>
      <c r="D34" s="10"/>
      <c r="E34" s="10"/>
      <c r="F34" s="10"/>
      <c r="G34" s="27"/>
      <c r="H34" s="10">
        <v>0</v>
      </c>
      <c r="I34" s="10">
        <v>0</v>
      </c>
      <c r="J34" s="10">
        <v>0</v>
      </c>
      <c r="K34" s="27"/>
      <c r="L34">
        <f>$C34*H34*Days!$F$1</f>
        <v>0</v>
      </c>
      <c r="M34">
        <f>$C34*I34*Days!$F$1</f>
        <v>0</v>
      </c>
      <c r="N34">
        <f>$C34*J34*Days!$F$1</f>
        <v>0</v>
      </c>
      <c r="O34" s="27"/>
      <c r="P34">
        <f t="shared" ca="1" si="0"/>
        <v>0</v>
      </c>
      <c r="Q34">
        <f t="shared" ca="1" si="1"/>
        <v>0</v>
      </c>
      <c r="R34">
        <f t="shared" ca="1" si="2"/>
        <v>0</v>
      </c>
      <c r="S34" s="27"/>
      <c r="T34" s="7">
        <f t="shared" si="3"/>
        <v>45586</v>
      </c>
      <c r="U34" s="6">
        <f t="shared" si="4"/>
        <v>1</v>
      </c>
      <c r="V34">
        <f>COUNTIFS('2024 - L&amp;G R64 - Test Instances'!H:H,B34,'2024 - L&amp;G R64 - Test Instances'!L:L,$V$2,'2024 - L&amp;G R64 - Test Instances'!O:O,"Done")</f>
        <v>0</v>
      </c>
      <c r="W34">
        <f>COUNTIFS('2024 - L&amp;G R64 - Test Instances'!H:H,B34,'2024 - L&amp;G R64 - Test Instances'!L:L,$W$2,'2024 - L&amp;G R64 - Test Instances'!O:O,"Done")</f>
        <v>0</v>
      </c>
      <c r="X34">
        <f>COUNTIFS('2024 - L&amp;G R64 - Test Instances'!H:H,B34,'2024 - L&amp;G R64 - Test Instances'!L:L,$X$2,'2024 - L&amp;G R64 - Test Instances'!O:O,"Done")</f>
        <v>0</v>
      </c>
      <c r="Y34" s="27">
        <v>8</v>
      </c>
      <c r="Z34" s="29">
        <f ca="1">IF(B34&gt;TODAY(),"",SUM($V$3:V34)/SUM($D$3:D34))</f>
        <v>7.3529411764705879</v>
      </c>
      <c r="AA34" s="29">
        <f ca="1">IF(B34&gt;TODAY(),"",SUM($W$3:W34)/SUM($E$3:E34))</f>
        <v>11.944444444444445</v>
      </c>
      <c r="AB34" s="29" t="e">
        <f ca="1">IF(B34&gt;TODAY(),"",SUM($X$3:X34)/SUM($F$3:F34))</f>
        <v>#DIV/0!</v>
      </c>
      <c r="AC34" s="27"/>
      <c r="AD34" s="7">
        <f t="shared" si="5"/>
        <v>45586</v>
      </c>
      <c r="AE34" s="29">
        <f t="shared" si="6"/>
        <v>0</v>
      </c>
      <c r="AF34" s="37">
        <f t="shared" si="7"/>
        <v>0</v>
      </c>
      <c r="AG34" s="29">
        <f t="shared" ca="1" si="8"/>
        <v>19.297385620915033</v>
      </c>
      <c r="AH34" s="27"/>
      <c r="AI34" s="7">
        <f t="shared" si="9"/>
        <v>45586</v>
      </c>
      <c r="AJ34" s="15">
        <f t="shared" si="19"/>
        <v>2</v>
      </c>
      <c r="AK34" s="15">
        <f t="shared" ca="1" si="16"/>
        <v>39</v>
      </c>
      <c r="AL34" s="27"/>
      <c r="AM34" s="11">
        <f t="shared" si="10"/>
        <v>45586</v>
      </c>
      <c r="AN34" s="28">
        <f t="shared" ca="1" si="20"/>
        <v>0</v>
      </c>
      <c r="AO34" s="28">
        <f t="shared" ca="1" si="21"/>
        <v>0</v>
      </c>
      <c r="AP34">
        <f t="shared" si="11"/>
        <v>0</v>
      </c>
      <c r="AQ34" s="11">
        <f t="shared" ca="1" si="23"/>
        <v>45666.9</v>
      </c>
      <c r="AR34" s="29">
        <f ca="1">AK34/(NETWORKDAYS(B34,$AU$1,Days!$A$11:$A$25)-1)</f>
        <v>-9.75</v>
      </c>
      <c r="AS34" s="29">
        <f t="shared" ca="1" si="17"/>
        <v>-4.875</v>
      </c>
      <c r="AT34" s="27"/>
      <c r="AV34" s="10">
        <f t="shared" si="12"/>
        <v>0</v>
      </c>
      <c r="AW34" s="10">
        <f t="shared" si="13"/>
        <v>0</v>
      </c>
      <c r="AX34" s="10">
        <f t="shared" si="14"/>
        <v>0</v>
      </c>
      <c r="AY34" s="7">
        <f t="shared" si="15"/>
        <v>45586</v>
      </c>
      <c r="AZ34">
        <f ca="1">IF(B34&gt;TODAY(),"",SUM($V$3:V34)/SUM($AV$3:AV34))</f>
        <v>7.8125</v>
      </c>
      <c r="BA34">
        <f ca="1">IF(B34&gt;TODAY(),"",SUM($W$3:W34)/SUM($AW$3:AW34))</f>
        <v>13.4375</v>
      </c>
      <c r="BB34" t="e">
        <f ca="1">IF(B34&gt;TODAY(),"",SUM($X$3:X34)/SUM($AX$3:AX34))</f>
        <v>#DIV/0!</v>
      </c>
    </row>
    <row r="35" spans="1:54" x14ac:dyDescent="0.25">
      <c r="A35" s="6" t="str">
        <f>VLOOKUP(WEEKDAY(B35,2),Days!$A$1:$B$7,2,0)</f>
        <v>Tue</v>
      </c>
      <c r="B35" s="7">
        <f t="shared" si="18"/>
        <v>45587</v>
      </c>
      <c r="C35" s="6">
        <f>IF(AND(A35&lt;&gt;"Sat",A35&lt;&gt;"Sun",ISERROR(VLOOKUP(B35,Days!$A$10:$A$38,1,0))),1,(IF(AF35&lt;&gt;0,1,0)))</f>
        <v>1</v>
      </c>
      <c r="D35" s="10"/>
      <c r="E35" s="10"/>
      <c r="F35" s="10"/>
      <c r="G35" s="27"/>
      <c r="H35" s="10">
        <v>1</v>
      </c>
      <c r="I35" s="10">
        <v>1</v>
      </c>
      <c r="J35" s="10">
        <v>0</v>
      </c>
      <c r="K35" s="27"/>
      <c r="L35">
        <f>$C35*H35*Days!$F$1</f>
        <v>8</v>
      </c>
      <c r="M35">
        <f>$C35*I35*Days!$F$1</f>
        <v>8</v>
      </c>
      <c r="N35">
        <f>$C35*J35*Days!$F$1</f>
        <v>0</v>
      </c>
      <c r="O35" s="27"/>
      <c r="P35">
        <f t="shared" ref="P35:P66" ca="1" si="24">IF(B35&gt;TODAY(),0,V35-L35)</f>
        <v>-8</v>
      </c>
      <c r="Q35">
        <f t="shared" ref="Q35:Q66" ca="1" si="25">IF(B35&gt;TODAY(),0,W35-M35)</f>
        <v>-8</v>
      </c>
      <c r="R35">
        <f t="shared" ref="R35:R66" ca="1" si="26">IF(B35&gt;TODAY(),0,X35-N35)</f>
        <v>0</v>
      </c>
      <c r="S35" s="27"/>
      <c r="T35" s="7">
        <f t="shared" ref="T35:T66" si="27">B35</f>
        <v>45587</v>
      </c>
      <c r="U35" s="6">
        <f t="shared" ref="U35:U66" si="28">C35</f>
        <v>1</v>
      </c>
      <c r="V35">
        <f>COUNTIFS('2024 - L&amp;G R64 - Test Instances'!H:H,B35,'2024 - L&amp;G R64 - Test Instances'!L:L,$V$2,'2024 - L&amp;G R64 - Test Instances'!O:O,"Done")</f>
        <v>0</v>
      </c>
      <c r="W35">
        <f>COUNTIFS('2024 - L&amp;G R64 - Test Instances'!H:H,B35,'2024 - L&amp;G R64 - Test Instances'!L:L,$W$2,'2024 - L&amp;G R64 - Test Instances'!O:O,"Done")</f>
        <v>0</v>
      </c>
      <c r="X35">
        <f>COUNTIFS('2024 - L&amp;G R64 - Test Instances'!H:H,B35,'2024 - L&amp;G R64 - Test Instances'!L:L,$X$2,'2024 - L&amp;G R64 - Test Instances'!O:O,"Done")</f>
        <v>0</v>
      </c>
      <c r="Y35" s="27">
        <v>8</v>
      </c>
      <c r="Z35" s="29">
        <f ca="1">IF(B35&gt;TODAY(),"",SUM($V$3:V35)/SUM($D$3:D35))</f>
        <v>7.3529411764705879</v>
      </c>
      <c r="AA35" s="29">
        <f ca="1">IF(B35&gt;TODAY(),"",SUM($W$3:W35)/SUM($E$3:E35))</f>
        <v>11.944444444444445</v>
      </c>
      <c r="AB35" s="29" t="e">
        <f ca="1">IF(B35&gt;TODAY(),"",SUM($X$3:X35)/SUM($F$3:F35))</f>
        <v>#DIV/0!</v>
      </c>
      <c r="AC35" s="27"/>
      <c r="AD35" s="7">
        <f t="shared" ref="AD35:AD66" si="29">B35</f>
        <v>45587</v>
      </c>
      <c r="AE35" s="29">
        <f t="shared" ref="AE35:AE66" si="30">SUM(L35:N35)</f>
        <v>16</v>
      </c>
      <c r="AF35" s="37">
        <f t="shared" ref="AF35:AF66" si="31">SUM(V35:W35)</f>
        <v>0</v>
      </c>
      <c r="AG35" s="29">
        <f t="shared" ref="AG35:AG66" ca="1" si="32">SUMIF(Z35:AA35,"&lt;&gt;#DIV/0!",Z35:AA35)</f>
        <v>19.297385620915033</v>
      </c>
      <c r="AH35" s="27"/>
      <c r="AI35" s="7">
        <f t="shared" ref="AI35:AI66" si="33">B35</f>
        <v>45587</v>
      </c>
      <c r="AJ35" s="15">
        <f t="shared" si="19"/>
        <v>-14</v>
      </c>
      <c r="AK35" s="15">
        <f t="shared" ca="1" si="16"/>
        <v>39</v>
      </c>
      <c r="AL35" s="27"/>
      <c r="AM35" s="11">
        <f t="shared" ref="AM35:AM66" si="34">B35</f>
        <v>45587</v>
      </c>
      <c r="AN35" s="28">
        <f t="shared" ca="1" si="20"/>
        <v>0</v>
      </c>
      <c r="AO35" s="28" t="e">
        <f t="shared" ca="1" si="21"/>
        <v>#DIV/0!</v>
      </c>
      <c r="AP35">
        <f t="shared" ref="AP35:AP66" si="35">IF(ISERROR(AF35/SUM(D35:F35)),0,AF35/SUM(D35:F35))</f>
        <v>0</v>
      </c>
      <c r="AQ35" s="11">
        <f t="shared" ca="1" si="23"/>
        <v>45666.9</v>
      </c>
      <c r="AR35" s="29">
        <f ca="1">AK35/(NETWORKDAYS(B35,$AU$1,Days!$A$11:$A$25)-1)</f>
        <v>-7.8</v>
      </c>
      <c r="AS35" s="29">
        <f t="shared" ca="1" si="17"/>
        <v>-3.9</v>
      </c>
      <c r="AT35" s="27"/>
      <c r="AV35" s="10">
        <f t="shared" ref="AV35:AV66" si="36">IF(V35&gt;0,1,0)</f>
        <v>0</v>
      </c>
      <c r="AW35" s="10">
        <f t="shared" ref="AW35:AW66" si="37">IF(W35&gt;0,1,0)</f>
        <v>0</v>
      </c>
      <c r="AX35" s="10">
        <f t="shared" ref="AX35:AX66" si="38">IF(X35&gt;0,1,0)</f>
        <v>0</v>
      </c>
      <c r="AY35" s="7">
        <f t="shared" ref="AY35:AY66" si="39">B35</f>
        <v>45587</v>
      </c>
      <c r="AZ35">
        <f ca="1">IF(B35&gt;TODAY(),"",SUM($V$3:V35)/SUM($AV$3:AV35))</f>
        <v>7.8125</v>
      </c>
      <c r="BA35">
        <f ca="1">IF(B35&gt;TODAY(),"",SUM($W$3:W35)/SUM($AW$3:AW35))</f>
        <v>13.4375</v>
      </c>
      <c r="BB35" t="e">
        <f ca="1">IF(B35&gt;TODAY(),"",SUM($X$3:X35)/SUM($AX$3:AX35))</f>
        <v>#DIV/0!</v>
      </c>
    </row>
    <row r="36" spans="1:54" x14ac:dyDescent="0.25">
      <c r="A36" s="6" t="str">
        <f>VLOOKUP(WEEKDAY(B36,2),Days!$A$1:$B$7,2,0)</f>
        <v>Wed</v>
      </c>
      <c r="B36" s="7">
        <f t="shared" si="18"/>
        <v>45588</v>
      </c>
      <c r="C36" s="6">
        <f>IF(AND(A36&lt;&gt;"Sat",A36&lt;&gt;"Sun",ISERROR(VLOOKUP(B36,Days!$A$10:$A$38,1,0))),1,(IF(AF36&lt;&gt;0,1,0)))</f>
        <v>1</v>
      </c>
      <c r="D36" s="10"/>
      <c r="E36" s="10"/>
      <c r="F36" s="10"/>
      <c r="G36" s="27"/>
      <c r="H36" s="10">
        <v>1</v>
      </c>
      <c r="I36" s="10">
        <v>1</v>
      </c>
      <c r="J36" s="10">
        <v>0</v>
      </c>
      <c r="K36" s="27"/>
      <c r="L36">
        <f>$C36*H36*Days!$F$1</f>
        <v>8</v>
      </c>
      <c r="M36">
        <f>$C36*I36*Days!$F$1</f>
        <v>8</v>
      </c>
      <c r="N36">
        <f>$C36*J36*Days!$F$1</f>
        <v>0</v>
      </c>
      <c r="O36" s="27"/>
      <c r="P36">
        <f t="shared" ca="1" si="24"/>
        <v>-8</v>
      </c>
      <c r="Q36">
        <f t="shared" ca="1" si="25"/>
        <v>-8</v>
      </c>
      <c r="R36">
        <f t="shared" ca="1" si="26"/>
        <v>0</v>
      </c>
      <c r="S36" s="27"/>
      <c r="T36" s="7">
        <f t="shared" si="27"/>
        <v>45588</v>
      </c>
      <c r="U36" s="6">
        <f t="shared" si="28"/>
        <v>1</v>
      </c>
      <c r="V36">
        <f>COUNTIFS('2024 - L&amp;G R64 - Test Instances'!H:H,B36,'2024 - L&amp;G R64 - Test Instances'!L:L,$V$2,'2024 - L&amp;G R64 - Test Instances'!O:O,"Done")</f>
        <v>0</v>
      </c>
      <c r="W36">
        <f>COUNTIFS('2024 - L&amp;G R64 - Test Instances'!H:H,B36,'2024 - L&amp;G R64 - Test Instances'!L:L,$W$2,'2024 - L&amp;G R64 - Test Instances'!O:O,"Done")</f>
        <v>0</v>
      </c>
      <c r="X36">
        <f>COUNTIFS('2024 - L&amp;G R64 - Test Instances'!H:H,B36,'2024 - L&amp;G R64 - Test Instances'!L:L,$X$2,'2024 - L&amp;G R64 - Test Instances'!O:O,"Done")</f>
        <v>0</v>
      </c>
      <c r="Y36" s="27">
        <v>8</v>
      </c>
      <c r="Z36" s="29">
        <f ca="1">IF(B36&gt;TODAY(),"",SUM($V$3:V36)/SUM($D$3:D36))</f>
        <v>7.3529411764705879</v>
      </c>
      <c r="AA36" s="29">
        <f ca="1">IF(B36&gt;TODAY(),"",SUM($W$3:W36)/SUM($E$3:E36))</f>
        <v>11.944444444444445</v>
      </c>
      <c r="AB36" s="29" t="e">
        <f ca="1">IF(B36&gt;TODAY(),"",SUM($X$3:X36)/SUM($F$3:F36))</f>
        <v>#DIV/0!</v>
      </c>
      <c r="AC36" s="27"/>
      <c r="AD36" s="7">
        <f t="shared" si="29"/>
        <v>45588</v>
      </c>
      <c r="AE36" s="29">
        <f t="shared" si="30"/>
        <v>16</v>
      </c>
      <c r="AF36" s="37">
        <f t="shared" si="31"/>
        <v>0</v>
      </c>
      <c r="AG36" s="29">
        <f t="shared" ca="1" si="32"/>
        <v>19.297385620915033</v>
      </c>
      <c r="AH36" s="27"/>
      <c r="AI36" s="7">
        <f t="shared" si="33"/>
        <v>45588</v>
      </c>
      <c r="AJ36" s="15">
        <f t="shared" si="19"/>
        <v>-30</v>
      </c>
      <c r="AK36" s="15">
        <f t="shared" ref="AK36:AK67" ca="1" si="40">IF(B36&gt;TODAY(),"",AK35-AF36)</f>
        <v>39</v>
      </c>
      <c r="AL36" s="27"/>
      <c r="AM36" s="11">
        <f t="shared" si="34"/>
        <v>45588</v>
      </c>
      <c r="AN36" s="28">
        <f t="shared" ca="1" si="20"/>
        <v>0</v>
      </c>
      <c r="AO36" s="28" t="e">
        <f t="shared" ca="1" si="21"/>
        <v>#DIV/0!</v>
      </c>
      <c r="AP36">
        <f t="shared" si="35"/>
        <v>0</v>
      </c>
      <c r="AQ36" s="11">
        <f t="shared" ca="1" si="23"/>
        <v>45666.9</v>
      </c>
      <c r="AR36" s="29">
        <f ca="1">AK36/(NETWORKDAYS(B36,$AU$1,Days!$A$11:$A$25)-1)</f>
        <v>-6.5</v>
      </c>
      <c r="AS36" s="29">
        <f t="shared" ca="1" si="17"/>
        <v>-3.25</v>
      </c>
      <c r="AT36" s="27"/>
      <c r="AV36" s="10">
        <f t="shared" si="36"/>
        <v>0</v>
      </c>
      <c r="AW36" s="10">
        <f t="shared" si="37"/>
        <v>0</v>
      </c>
      <c r="AX36" s="10">
        <f t="shared" si="38"/>
        <v>0</v>
      </c>
      <c r="AY36" s="7">
        <f t="shared" si="39"/>
        <v>45588</v>
      </c>
      <c r="AZ36">
        <f ca="1">IF(B36&gt;TODAY(),"",SUM($V$3:V36)/SUM($AV$3:AV36))</f>
        <v>7.8125</v>
      </c>
      <c r="BA36">
        <f ca="1">IF(B36&gt;TODAY(),"",SUM($W$3:W36)/SUM($AW$3:AW36))</f>
        <v>13.4375</v>
      </c>
      <c r="BB36" t="e">
        <f ca="1">IF(B36&gt;TODAY(),"",SUM($X$3:X36)/SUM($AX$3:AX36))</f>
        <v>#DIV/0!</v>
      </c>
    </row>
    <row r="37" spans="1:54" x14ac:dyDescent="0.25">
      <c r="A37" s="6" t="str">
        <f>VLOOKUP(WEEKDAY(B37,2),Days!$A$1:$B$7,2,0)</f>
        <v>Thu</v>
      </c>
      <c r="B37" s="7">
        <f t="shared" si="18"/>
        <v>45589</v>
      </c>
      <c r="C37" s="6">
        <f>IF(AND(A37&lt;&gt;"Sat",A37&lt;&gt;"Sun",ISERROR(VLOOKUP(B37,Days!$A$10:$A$38,1,0))),1,(IF(AF37&lt;&gt;0,1,0)))</f>
        <v>1</v>
      </c>
      <c r="D37" s="10"/>
      <c r="E37" s="10"/>
      <c r="F37" s="10"/>
      <c r="G37" s="27"/>
      <c r="H37" s="10">
        <v>1</v>
      </c>
      <c r="I37" s="10">
        <v>1</v>
      </c>
      <c r="J37" s="10">
        <v>0</v>
      </c>
      <c r="K37" s="27"/>
      <c r="L37">
        <f>$C37*H37*Days!$F$1</f>
        <v>8</v>
      </c>
      <c r="M37">
        <f>$C37*I37*Days!$F$1</f>
        <v>8</v>
      </c>
      <c r="N37">
        <f>$C37*J37*Days!$F$1</f>
        <v>0</v>
      </c>
      <c r="O37" s="27"/>
      <c r="P37">
        <f t="shared" ca="1" si="24"/>
        <v>-4</v>
      </c>
      <c r="Q37">
        <f t="shared" ca="1" si="25"/>
        <v>-5</v>
      </c>
      <c r="R37">
        <f t="shared" ca="1" si="26"/>
        <v>0</v>
      </c>
      <c r="S37" s="27"/>
      <c r="T37" s="7">
        <f t="shared" si="27"/>
        <v>45589</v>
      </c>
      <c r="U37" s="6">
        <f t="shared" si="28"/>
        <v>1</v>
      </c>
      <c r="V37">
        <f>COUNTIFS('2024 - L&amp;G R64 - Test Instances'!H:H,B37,'2024 - L&amp;G R64 - Test Instances'!L:L,$V$2,'2024 - L&amp;G R64 - Test Instances'!O:O,"Done")</f>
        <v>4</v>
      </c>
      <c r="W37">
        <f>COUNTIFS('2024 - L&amp;G R64 - Test Instances'!H:H,B37,'2024 - L&amp;G R64 - Test Instances'!L:L,$W$2,'2024 - L&amp;G R64 - Test Instances'!O:O,"Done")</f>
        <v>3</v>
      </c>
      <c r="X37">
        <f>COUNTIFS('2024 - L&amp;G R64 - Test Instances'!H:H,B37,'2024 - L&amp;G R64 - Test Instances'!L:L,$X$2,'2024 - L&amp;G R64 - Test Instances'!O:O,"Done")</f>
        <v>0</v>
      </c>
      <c r="Y37" s="27">
        <v>8</v>
      </c>
      <c r="Z37" s="29">
        <f ca="1">IF(B37&gt;TODAY(),"",SUM($V$3:V37)/SUM($D$3:D37))</f>
        <v>7.5882352941176467</v>
      </c>
      <c r="AA37" s="29">
        <f ca="1">IF(B37&gt;TODAY(),"",SUM($W$3:W37)/SUM($E$3:E37))</f>
        <v>12.111111111111111</v>
      </c>
      <c r="AB37" s="29" t="e">
        <f ca="1">IF(B37&gt;TODAY(),"",SUM($X$3:X37)/SUM($F$3:F37))</f>
        <v>#DIV/0!</v>
      </c>
      <c r="AC37" s="27"/>
      <c r="AD37" s="7">
        <f t="shared" si="29"/>
        <v>45589</v>
      </c>
      <c r="AE37" s="29">
        <f t="shared" si="30"/>
        <v>16</v>
      </c>
      <c r="AF37" s="37">
        <f t="shared" si="31"/>
        <v>7</v>
      </c>
      <c r="AG37" s="29">
        <f t="shared" ca="1" si="32"/>
        <v>19.699346405228759</v>
      </c>
      <c r="AH37" s="27"/>
      <c r="AI37" s="7">
        <f t="shared" si="33"/>
        <v>45589</v>
      </c>
      <c r="AJ37" s="15">
        <f t="shared" si="19"/>
        <v>-46</v>
      </c>
      <c r="AK37" s="15">
        <f t="shared" ca="1" si="40"/>
        <v>32</v>
      </c>
      <c r="AL37" s="27"/>
      <c r="AM37" s="11">
        <f t="shared" si="34"/>
        <v>45589</v>
      </c>
      <c r="AN37" s="28">
        <f t="shared" ca="1" si="20"/>
        <v>1.75</v>
      </c>
      <c r="AO37" s="28" t="e">
        <f t="shared" ca="1" si="21"/>
        <v>#DIV/0!</v>
      </c>
      <c r="AP37">
        <f t="shared" si="35"/>
        <v>0</v>
      </c>
      <c r="AQ37" s="11">
        <f t="shared" ca="1" si="23"/>
        <v>45614.6</v>
      </c>
      <c r="AR37" s="29">
        <f ca="1">AK37/(NETWORKDAYS(B37,$AU$1,Days!$A$11:$A$25)-1)</f>
        <v>-4.5714285714285712</v>
      </c>
      <c r="AS37" s="29">
        <f t="shared" ca="1" si="17"/>
        <v>-2.2857142857142856</v>
      </c>
      <c r="AT37" s="27"/>
      <c r="AV37" s="10">
        <f t="shared" si="36"/>
        <v>1</v>
      </c>
      <c r="AW37" s="10">
        <f t="shared" si="37"/>
        <v>1</v>
      </c>
      <c r="AX37" s="10">
        <f t="shared" si="38"/>
        <v>0</v>
      </c>
      <c r="AY37" s="7">
        <f t="shared" si="39"/>
        <v>45589</v>
      </c>
      <c r="AZ37">
        <f ca="1">IF(B37&gt;TODAY(),"",SUM($V$3:V37)/SUM($AV$3:AV37))</f>
        <v>7.5882352941176467</v>
      </c>
      <c r="BA37">
        <f ca="1">IF(B37&gt;TODAY(),"",SUM($W$3:W37)/SUM($AW$3:AW37))</f>
        <v>12.823529411764707</v>
      </c>
      <c r="BB37" t="e">
        <f ca="1">IF(B37&gt;TODAY(),"",SUM($X$3:X37)/SUM($AX$3:AX37))</f>
        <v>#DIV/0!</v>
      </c>
    </row>
    <row r="38" spans="1:54" x14ac:dyDescent="0.25">
      <c r="A38" s="6" t="str">
        <f>VLOOKUP(WEEKDAY(B38,2),Days!$A$1:$B$7,2,0)</f>
        <v>Fri</v>
      </c>
      <c r="B38" s="7">
        <f t="shared" si="18"/>
        <v>45590</v>
      </c>
      <c r="C38" s="6">
        <f>IF(AND(A38&lt;&gt;"Sat",A38&lt;&gt;"Sun",ISERROR(VLOOKUP(B38,Days!$A$10:$A$38,1,0))),1,(IF(AF38&lt;&gt;0,1,0)))</f>
        <v>1</v>
      </c>
      <c r="D38" s="10"/>
      <c r="E38" s="10"/>
      <c r="F38" s="10"/>
      <c r="G38" s="27"/>
      <c r="H38" s="10">
        <v>1</v>
      </c>
      <c r="I38" s="10">
        <v>1</v>
      </c>
      <c r="J38" s="10">
        <v>0</v>
      </c>
      <c r="K38" s="27"/>
      <c r="L38">
        <f>$C38*H38*Days!$F$1</f>
        <v>8</v>
      </c>
      <c r="M38">
        <f>$C38*I38*Days!$F$1</f>
        <v>8</v>
      </c>
      <c r="N38">
        <f>$C38*J38*Days!$F$1</f>
        <v>0</v>
      </c>
      <c r="O38" s="27"/>
      <c r="P38">
        <f t="shared" ca="1" si="24"/>
        <v>-8</v>
      </c>
      <c r="Q38">
        <f t="shared" ca="1" si="25"/>
        <v>-8</v>
      </c>
      <c r="R38">
        <f t="shared" ca="1" si="26"/>
        <v>0</v>
      </c>
      <c r="S38" s="27"/>
      <c r="T38" s="7">
        <f t="shared" si="27"/>
        <v>45590</v>
      </c>
      <c r="U38" s="6">
        <f t="shared" si="28"/>
        <v>1</v>
      </c>
      <c r="V38">
        <f>COUNTIFS('2024 - L&amp;G R64 - Test Instances'!H:H,B38,'2024 - L&amp;G R64 - Test Instances'!L:L,$V$2,'2024 - L&amp;G R64 - Test Instances'!O:O,"Done")</f>
        <v>0</v>
      </c>
      <c r="W38">
        <f>COUNTIFS('2024 - L&amp;G R64 - Test Instances'!H:H,B38,'2024 - L&amp;G R64 - Test Instances'!L:L,$W$2,'2024 - L&amp;G R64 - Test Instances'!O:O,"Done")</f>
        <v>0</v>
      </c>
      <c r="X38">
        <f>COUNTIFS('2024 - L&amp;G R64 - Test Instances'!H:H,B38,'2024 - L&amp;G R64 - Test Instances'!L:L,$X$2,'2024 - L&amp;G R64 - Test Instances'!O:O,"Done")</f>
        <v>0</v>
      </c>
      <c r="Y38" s="27">
        <v>8</v>
      </c>
      <c r="Z38" s="29">
        <f ca="1">IF(B38&gt;TODAY(),"",SUM($V$3:V38)/SUM($D$3:D38))</f>
        <v>7.5882352941176467</v>
      </c>
      <c r="AA38" s="29">
        <f ca="1">IF(B38&gt;TODAY(),"",SUM($W$3:W38)/SUM($E$3:E38))</f>
        <v>12.111111111111111</v>
      </c>
      <c r="AB38" s="29" t="e">
        <f ca="1">IF(B38&gt;TODAY(),"",SUM($X$3:X38)/SUM($F$3:F38))</f>
        <v>#DIV/0!</v>
      </c>
      <c r="AC38" s="27"/>
      <c r="AD38" s="7">
        <f t="shared" si="29"/>
        <v>45590</v>
      </c>
      <c r="AE38" s="29">
        <f t="shared" si="30"/>
        <v>16</v>
      </c>
      <c r="AF38" s="37">
        <f t="shared" si="31"/>
        <v>0</v>
      </c>
      <c r="AG38" s="29">
        <f t="shared" ca="1" si="32"/>
        <v>19.699346405228759</v>
      </c>
      <c r="AH38" s="27"/>
      <c r="AI38" s="7">
        <f t="shared" si="33"/>
        <v>45590</v>
      </c>
      <c r="AJ38" s="15">
        <f t="shared" si="19"/>
        <v>-62</v>
      </c>
      <c r="AK38" s="15">
        <f t="shared" ca="1" si="40"/>
        <v>32</v>
      </c>
      <c r="AL38" s="27"/>
      <c r="AM38" s="11">
        <f t="shared" si="34"/>
        <v>45590</v>
      </c>
      <c r="AN38" s="28">
        <f t="shared" ca="1" si="20"/>
        <v>1.4</v>
      </c>
      <c r="AO38" s="28" t="e">
        <f t="shared" ca="1" si="21"/>
        <v>#DIV/0!</v>
      </c>
      <c r="AP38">
        <f t="shared" si="35"/>
        <v>0</v>
      </c>
      <c r="AQ38" s="11">
        <f t="shared" ca="1" si="23"/>
        <v>45622</v>
      </c>
      <c r="AR38" s="29">
        <f ca="1">AK38/(NETWORKDAYS(B38,$AU$1,Days!$A$11:$A$25)-1)</f>
        <v>-4</v>
      </c>
      <c r="AS38" s="29">
        <f t="shared" ca="1" si="17"/>
        <v>-2</v>
      </c>
      <c r="AT38" s="27"/>
      <c r="AV38" s="10">
        <f t="shared" si="36"/>
        <v>0</v>
      </c>
      <c r="AW38" s="10">
        <f t="shared" si="37"/>
        <v>0</v>
      </c>
      <c r="AX38" s="10">
        <f t="shared" si="38"/>
        <v>0</v>
      </c>
      <c r="AY38" s="7">
        <f t="shared" si="39"/>
        <v>45590</v>
      </c>
      <c r="AZ38">
        <f ca="1">IF(B38&gt;TODAY(),"",SUM($V$3:V38)/SUM($AV$3:AV38))</f>
        <v>7.5882352941176467</v>
      </c>
      <c r="BA38">
        <f ca="1">IF(B38&gt;TODAY(),"",SUM($W$3:W38)/SUM($AW$3:AW38))</f>
        <v>12.823529411764707</v>
      </c>
      <c r="BB38" t="e">
        <f ca="1">IF(B38&gt;TODAY(),"",SUM($X$3:X38)/SUM($AX$3:AX38))</f>
        <v>#DIV/0!</v>
      </c>
    </row>
    <row r="39" spans="1:54" x14ac:dyDescent="0.25">
      <c r="A39" s="6" t="str">
        <f>VLOOKUP(WEEKDAY(B39,2),Days!$A$1:$B$7,2,0)</f>
        <v>Sat</v>
      </c>
      <c r="B39" s="7">
        <f t="shared" si="18"/>
        <v>45591</v>
      </c>
      <c r="C39" s="6">
        <f>IF(AND(A39&lt;&gt;"Sat",A39&lt;&gt;"Sun",ISERROR(VLOOKUP(B39,Days!$A$10:$A$38,1,0))),1,(IF(AF39&lt;&gt;0,1,0)))</f>
        <v>0</v>
      </c>
      <c r="D39" s="10"/>
      <c r="E39" s="10"/>
      <c r="F39" s="10"/>
      <c r="G39" s="27"/>
      <c r="H39" s="10">
        <v>0</v>
      </c>
      <c r="I39" s="10">
        <v>0</v>
      </c>
      <c r="J39" s="10">
        <v>0</v>
      </c>
      <c r="K39" s="27"/>
      <c r="L39">
        <f>$C39*H39*Days!$F$1</f>
        <v>0</v>
      </c>
      <c r="M39">
        <f>$C39*I39*Days!$F$1</f>
        <v>0</v>
      </c>
      <c r="N39">
        <f>$C39*J39*Days!$F$1</f>
        <v>0</v>
      </c>
      <c r="O39" s="27"/>
      <c r="P39">
        <f t="shared" ca="1" si="24"/>
        <v>0</v>
      </c>
      <c r="Q39">
        <f t="shared" ca="1" si="25"/>
        <v>0</v>
      </c>
      <c r="R39">
        <f t="shared" ca="1" si="26"/>
        <v>0</v>
      </c>
      <c r="S39" s="27"/>
      <c r="T39" s="7">
        <f t="shared" si="27"/>
        <v>45591</v>
      </c>
      <c r="U39" s="6">
        <f t="shared" si="28"/>
        <v>0</v>
      </c>
      <c r="V39">
        <f>COUNTIFS('2024 - L&amp;G R64 - Test Instances'!H:H,B39,'2024 - L&amp;G R64 - Test Instances'!L:L,$V$2,'2024 - L&amp;G R64 - Test Instances'!O:O,"Done")</f>
        <v>0</v>
      </c>
      <c r="W39">
        <f>COUNTIFS('2024 - L&amp;G R64 - Test Instances'!H:H,B39,'2024 - L&amp;G R64 - Test Instances'!L:L,$W$2,'2024 - L&amp;G R64 - Test Instances'!O:O,"Done")</f>
        <v>0</v>
      </c>
      <c r="X39">
        <f>COUNTIFS('2024 - L&amp;G R64 - Test Instances'!H:H,B39,'2024 - L&amp;G R64 - Test Instances'!L:L,$X$2,'2024 - L&amp;G R64 - Test Instances'!O:O,"Done")</f>
        <v>0</v>
      </c>
      <c r="Y39" s="27">
        <v>8</v>
      </c>
      <c r="Z39" s="29">
        <f ca="1">IF(B39&gt;TODAY(),"",SUM($V$3:V39)/SUM($D$3:D39))</f>
        <v>7.5882352941176467</v>
      </c>
      <c r="AA39" s="29">
        <f ca="1">IF(B39&gt;TODAY(),"",SUM($W$3:W39)/SUM($E$3:E39))</f>
        <v>12.111111111111111</v>
      </c>
      <c r="AB39" s="29" t="e">
        <f ca="1">IF(B39&gt;TODAY(),"",SUM($X$3:X39)/SUM($F$3:F39))</f>
        <v>#DIV/0!</v>
      </c>
      <c r="AC39" s="27"/>
      <c r="AD39" s="7">
        <f t="shared" si="29"/>
        <v>45591</v>
      </c>
      <c r="AE39" s="29">
        <f t="shared" si="30"/>
        <v>0</v>
      </c>
      <c r="AF39" s="37">
        <f t="shared" si="31"/>
        <v>0</v>
      </c>
      <c r="AG39" s="29">
        <f t="shared" ca="1" si="32"/>
        <v>19.699346405228759</v>
      </c>
      <c r="AH39" s="27"/>
      <c r="AI39" s="7">
        <f t="shared" si="33"/>
        <v>45591</v>
      </c>
      <c r="AJ39" s="15">
        <f t="shared" si="19"/>
        <v>-62</v>
      </c>
      <c r="AK39" s="15">
        <f t="shared" ca="1" si="40"/>
        <v>32</v>
      </c>
      <c r="AL39" s="27"/>
      <c r="AM39" s="11">
        <f t="shared" si="34"/>
        <v>45591</v>
      </c>
      <c r="AN39" s="28">
        <f t="shared" ref="AN39:AN70" ca="1" si="41">IF(B39&gt;TODAY(),0,SUM(AF35:AF39)/SUM(C35:C39))</f>
        <v>1.75</v>
      </c>
      <c r="AO39" s="28" t="e">
        <f t="shared" ref="AO39:AO70" ca="1" si="42">IF(B39&gt;TODAY(),0,SUM(AF35:AF39)/SUM(D35:F39))</f>
        <v>#DIV/0!</v>
      </c>
      <c r="AP39">
        <f t="shared" si="35"/>
        <v>0</v>
      </c>
      <c r="AQ39" s="11">
        <f t="shared" ca="1" si="23"/>
        <v>45616.6</v>
      </c>
      <c r="AR39" s="29">
        <f ca="1">AK39/(NETWORKDAYS(B39,$AU$1,Days!$A$11:$A$25)-1)</f>
        <v>-4</v>
      </c>
      <c r="AS39" s="29">
        <f t="shared" ca="1" si="17"/>
        <v>-2</v>
      </c>
      <c r="AT39" s="27"/>
      <c r="AV39" s="10">
        <f t="shared" si="36"/>
        <v>0</v>
      </c>
      <c r="AW39" s="10">
        <f t="shared" si="37"/>
        <v>0</v>
      </c>
      <c r="AX39" s="10">
        <f t="shared" si="38"/>
        <v>0</v>
      </c>
      <c r="AY39" s="7">
        <f t="shared" si="39"/>
        <v>45591</v>
      </c>
      <c r="AZ39">
        <f ca="1">IF(B39&gt;TODAY(),"",SUM($V$3:V39)/SUM($AV$3:AV39))</f>
        <v>7.5882352941176467</v>
      </c>
      <c r="BA39">
        <f ca="1">IF(B39&gt;TODAY(),"",SUM($W$3:W39)/SUM($AW$3:AW39))</f>
        <v>12.823529411764707</v>
      </c>
      <c r="BB39" t="e">
        <f ca="1">IF(B39&gt;TODAY(),"",SUM($X$3:X39)/SUM($AX$3:AX39))</f>
        <v>#DIV/0!</v>
      </c>
    </row>
    <row r="40" spans="1:54" x14ac:dyDescent="0.25">
      <c r="A40" s="6" t="str">
        <f>VLOOKUP(WEEKDAY(B40,2),Days!$A$1:$B$7,2,0)</f>
        <v>Sun</v>
      </c>
      <c r="B40" s="7">
        <f t="shared" si="18"/>
        <v>45592</v>
      </c>
      <c r="C40" s="6">
        <f>IF(AND(A40&lt;&gt;"Sat",A40&lt;&gt;"Sun",ISERROR(VLOOKUP(B40,Days!$A$10:$A$38,1,0))),1,(IF(AF40&lt;&gt;0,1,0)))</f>
        <v>0</v>
      </c>
      <c r="D40" s="10"/>
      <c r="E40" s="10"/>
      <c r="F40" s="10"/>
      <c r="G40" s="27"/>
      <c r="H40" s="10">
        <v>0</v>
      </c>
      <c r="I40" s="10">
        <v>0</v>
      </c>
      <c r="J40" s="10">
        <v>0</v>
      </c>
      <c r="K40" s="27"/>
      <c r="L40">
        <f>$C40*H40*Days!$F$1</f>
        <v>0</v>
      </c>
      <c r="M40">
        <f>$C40*I40*Days!$F$1</f>
        <v>0</v>
      </c>
      <c r="N40">
        <f>$C40*J40*Days!$F$1</f>
        <v>0</v>
      </c>
      <c r="O40" s="27"/>
      <c r="P40">
        <f t="shared" ca="1" si="24"/>
        <v>0</v>
      </c>
      <c r="Q40">
        <f t="shared" ca="1" si="25"/>
        <v>0</v>
      </c>
      <c r="R40">
        <f t="shared" ca="1" si="26"/>
        <v>0</v>
      </c>
      <c r="S40" s="27"/>
      <c r="T40" s="7">
        <f t="shared" si="27"/>
        <v>45592</v>
      </c>
      <c r="U40" s="6">
        <f t="shared" si="28"/>
        <v>0</v>
      </c>
      <c r="V40">
        <f>COUNTIFS('2024 - L&amp;G R64 - Test Instances'!H:H,B40,'2024 - L&amp;G R64 - Test Instances'!L:L,$V$2,'2024 - L&amp;G R64 - Test Instances'!O:O,"Done")</f>
        <v>0</v>
      </c>
      <c r="W40">
        <f>COUNTIFS('2024 - L&amp;G R64 - Test Instances'!H:H,B40,'2024 - L&amp;G R64 - Test Instances'!L:L,$W$2,'2024 - L&amp;G R64 - Test Instances'!O:O,"Done")</f>
        <v>0</v>
      </c>
      <c r="X40">
        <f>COUNTIFS('2024 - L&amp;G R64 - Test Instances'!H:H,B40,'2024 - L&amp;G R64 - Test Instances'!L:L,$X$2,'2024 - L&amp;G R64 - Test Instances'!O:O,"Done")</f>
        <v>0</v>
      </c>
      <c r="Y40" s="27">
        <v>8</v>
      </c>
      <c r="Z40" s="29">
        <f ca="1">IF(B40&gt;TODAY(),"",SUM($V$3:V40)/SUM($D$3:D40))</f>
        <v>7.5882352941176467</v>
      </c>
      <c r="AA40" s="29">
        <f ca="1">IF(B40&gt;TODAY(),"",SUM($W$3:W40)/SUM($E$3:E40))</f>
        <v>12.111111111111111</v>
      </c>
      <c r="AB40" s="29" t="e">
        <f ca="1">IF(B40&gt;TODAY(),"",SUM($X$3:X40)/SUM($F$3:F40))</f>
        <v>#DIV/0!</v>
      </c>
      <c r="AC40" s="27"/>
      <c r="AD40" s="7">
        <f t="shared" si="29"/>
        <v>45592</v>
      </c>
      <c r="AE40" s="29">
        <f t="shared" si="30"/>
        <v>0</v>
      </c>
      <c r="AF40" s="37">
        <f t="shared" si="31"/>
        <v>0</v>
      </c>
      <c r="AG40" s="29">
        <f t="shared" ca="1" si="32"/>
        <v>19.699346405228759</v>
      </c>
      <c r="AH40" s="27"/>
      <c r="AI40" s="7">
        <f t="shared" si="33"/>
        <v>45592</v>
      </c>
      <c r="AJ40" s="15">
        <f t="shared" si="19"/>
        <v>-62</v>
      </c>
      <c r="AK40" s="15">
        <f t="shared" ca="1" si="40"/>
        <v>32</v>
      </c>
      <c r="AL40" s="27"/>
      <c r="AM40" s="11">
        <f t="shared" si="34"/>
        <v>45592</v>
      </c>
      <c r="AN40" s="28">
        <f t="shared" ca="1" si="41"/>
        <v>2.3333333333333335</v>
      </c>
      <c r="AO40" s="28" t="e">
        <f t="shared" ca="1" si="42"/>
        <v>#DIV/0!</v>
      </c>
      <c r="AP40">
        <f t="shared" si="35"/>
        <v>0</v>
      </c>
      <c r="AQ40" s="11">
        <f t="shared" ca="1" si="23"/>
        <v>45611.199999999997</v>
      </c>
      <c r="AR40" s="29">
        <f ca="1">AK40/(NETWORKDAYS(B40,$AU$1,Days!$A$11:$A$25)-1)</f>
        <v>-4</v>
      </c>
      <c r="AS40" s="29">
        <f t="shared" ca="1" si="17"/>
        <v>-2</v>
      </c>
      <c r="AT40" s="27"/>
      <c r="AV40" s="10">
        <f t="shared" si="36"/>
        <v>0</v>
      </c>
      <c r="AW40" s="10">
        <f t="shared" si="37"/>
        <v>0</v>
      </c>
      <c r="AX40" s="10">
        <f t="shared" si="38"/>
        <v>0</v>
      </c>
      <c r="AY40" s="7">
        <f t="shared" si="39"/>
        <v>45592</v>
      </c>
      <c r="AZ40">
        <f ca="1">IF(B40&gt;TODAY(),"",SUM($V$3:V40)/SUM($AV$3:AV40))</f>
        <v>7.5882352941176467</v>
      </c>
      <c r="BA40">
        <f ca="1">IF(B40&gt;TODAY(),"",SUM($W$3:W40)/SUM($AW$3:AW40))</f>
        <v>12.823529411764707</v>
      </c>
      <c r="BB40" t="e">
        <f ca="1">IF(B40&gt;TODAY(),"",SUM($X$3:X40)/SUM($AX$3:AX40))</f>
        <v>#DIV/0!</v>
      </c>
    </row>
    <row r="41" spans="1:54" x14ac:dyDescent="0.25">
      <c r="A41" s="6" t="str">
        <f>VLOOKUP(WEEKDAY(B41,2),Days!$A$1:$B$7,2,0)</f>
        <v>Mon</v>
      </c>
      <c r="B41" s="7">
        <f t="shared" si="18"/>
        <v>45593</v>
      </c>
      <c r="C41" s="6">
        <f>IF(AND(A41&lt;&gt;"Sat",A41&lt;&gt;"Sun",ISERROR(VLOOKUP(B41,Days!$A$10:$A$38,1,0))),1,(IF(AF41&lt;&gt;0,1,0)))</f>
        <v>1</v>
      </c>
      <c r="D41" s="10"/>
      <c r="E41" s="10"/>
      <c r="F41" s="10"/>
      <c r="G41" s="27"/>
      <c r="H41" s="10">
        <v>1</v>
      </c>
      <c r="I41" s="10">
        <v>1</v>
      </c>
      <c r="J41" s="10">
        <v>0</v>
      </c>
      <c r="K41" s="27"/>
      <c r="L41">
        <f>$C41*H41*Days!$F$1</f>
        <v>8</v>
      </c>
      <c r="M41">
        <f>$C41*I41*Days!$F$1</f>
        <v>8</v>
      </c>
      <c r="N41">
        <f>$C41*J41*Days!$F$1</f>
        <v>0</v>
      </c>
      <c r="O41" s="27"/>
      <c r="P41">
        <f t="shared" ca="1" si="24"/>
        <v>-8</v>
      </c>
      <c r="Q41">
        <f t="shared" ca="1" si="25"/>
        <v>-8</v>
      </c>
      <c r="R41">
        <f t="shared" ca="1" si="26"/>
        <v>0</v>
      </c>
      <c r="S41" s="27"/>
      <c r="T41" s="7">
        <f t="shared" si="27"/>
        <v>45593</v>
      </c>
      <c r="U41" s="6">
        <f t="shared" si="28"/>
        <v>1</v>
      </c>
      <c r="V41">
        <f>COUNTIFS('2024 - L&amp;G R64 - Test Instances'!H:H,B41,'2024 - L&amp;G R64 - Test Instances'!L:L,$V$2,'2024 - L&amp;G R64 - Test Instances'!O:O,"Done")</f>
        <v>0</v>
      </c>
      <c r="W41">
        <f>COUNTIFS('2024 - L&amp;G R64 - Test Instances'!H:H,B41,'2024 - L&amp;G R64 - Test Instances'!L:L,$W$2,'2024 - L&amp;G R64 - Test Instances'!O:O,"Done")</f>
        <v>0</v>
      </c>
      <c r="X41">
        <f>COUNTIFS('2024 - L&amp;G R64 - Test Instances'!H:H,B41,'2024 - L&amp;G R64 - Test Instances'!L:L,$X$2,'2024 - L&amp;G R64 - Test Instances'!O:O,"Done")</f>
        <v>0</v>
      </c>
      <c r="Y41" s="27">
        <v>8</v>
      </c>
      <c r="Z41" s="29">
        <f ca="1">IF(B41&gt;TODAY(),"",SUM($V$3:V41)/SUM($D$3:D41))</f>
        <v>7.5882352941176467</v>
      </c>
      <c r="AA41" s="29">
        <f ca="1">IF(B41&gt;TODAY(),"",SUM($W$3:W41)/SUM($E$3:E41))</f>
        <v>12.111111111111111</v>
      </c>
      <c r="AB41" s="29" t="e">
        <f ca="1">IF(B41&gt;TODAY(),"",SUM($X$3:X41)/SUM($F$3:F41))</f>
        <v>#DIV/0!</v>
      </c>
      <c r="AC41" s="27"/>
      <c r="AD41" s="7">
        <f t="shared" si="29"/>
        <v>45593</v>
      </c>
      <c r="AE41" s="29">
        <f t="shared" si="30"/>
        <v>16</v>
      </c>
      <c r="AF41" s="37">
        <f t="shared" si="31"/>
        <v>0</v>
      </c>
      <c r="AG41" s="29">
        <f t="shared" ca="1" si="32"/>
        <v>19.699346405228759</v>
      </c>
      <c r="AH41" s="27"/>
      <c r="AI41" s="7">
        <f t="shared" si="33"/>
        <v>45593</v>
      </c>
      <c r="AJ41" s="15">
        <f t="shared" si="19"/>
        <v>-78</v>
      </c>
      <c r="AK41" s="15">
        <f t="shared" ca="1" si="40"/>
        <v>32</v>
      </c>
      <c r="AL41" s="27"/>
      <c r="AM41" s="11">
        <f t="shared" si="34"/>
        <v>45593</v>
      </c>
      <c r="AN41" s="28">
        <f t="shared" ca="1" si="41"/>
        <v>2.3333333333333335</v>
      </c>
      <c r="AO41" s="28" t="e">
        <f t="shared" ca="1" si="42"/>
        <v>#DIV/0!</v>
      </c>
      <c r="AP41">
        <f t="shared" si="35"/>
        <v>0</v>
      </c>
      <c r="AQ41" s="11">
        <f t="shared" ca="1" si="23"/>
        <v>45612.2</v>
      </c>
      <c r="AR41" s="29">
        <f ca="1">AK41/(NETWORKDAYS(B41,$AU$1,Days!$A$11:$A$25)-1)</f>
        <v>-3.5555555555555554</v>
      </c>
      <c r="AS41" s="29">
        <f t="shared" ca="1" si="17"/>
        <v>-1.7777777777777777</v>
      </c>
      <c r="AT41" s="27"/>
      <c r="AV41" s="10">
        <f t="shared" si="36"/>
        <v>0</v>
      </c>
      <c r="AW41" s="10">
        <f t="shared" si="37"/>
        <v>0</v>
      </c>
      <c r="AX41" s="10">
        <f t="shared" si="38"/>
        <v>0</v>
      </c>
      <c r="AY41" s="7">
        <f t="shared" si="39"/>
        <v>45593</v>
      </c>
      <c r="AZ41">
        <f ca="1">IF(B41&gt;TODAY(),"",SUM($V$3:V41)/SUM($AV$3:AV41))</f>
        <v>7.5882352941176467</v>
      </c>
      <c r="BA41">
        <f ca="1">IF(B41&gt;TODAY(),"",SUM($W$3:W41)/SUM($AW$3:AW41))</f>
        <v>12.823529411764707</v>
      </c>
      <c r="BB41" t="e">
        <f ca="1">IF(B41&gt;TODAY(),"",SUM($X$3:X41)/SUM($AX$3:AX41))</f>
        <v>#DIV/0!</v>
      </c>
    </row>
    <row r="42" spans="1:54" x14ac:dyDescent="0.25">
      <c r="A42" s="6" t="str">
        <f>VLOOKUP(WEEKDAY(B42,2),Days!$A$1:$B$7,2,0)</f>
        <v>Tue</v>
      </c>
      <c r="B42" s="7">
        <f t="shared" si="18"/>
        <v>45594</v>
      </c>
      <c r="C42" s="6">
        <f>IF(AND(A42&lt;&gt;"Sat",A42&lt;&gt;"Sun",ISERROR(VLOOKUP(B42,Days!$A$10:$A$38,1,0))),1,(IF(AF42&lt;&gt;0,1,0)))</f>
        <v>1</v>
      </c>
      <c r="D42" s="10"/>
      <c r="E42" s="10"/>
      <c r="F42" s="10"/>
      <c r="G42" s="27"/>
      <c r="H42" s="10">
        <v>1</v>
      </c>
      <c r="I42" s="10">
        <v>1</v>
      </c>
      <c r="J42" s="10">
        <v>0</v>
      </c>
      <c r="K42" s="27"/>
      <c r="L42">
        <f>$C42*H42*Days!$F$1</f>
        <v>8</v>
      </c>
      <c r="M42">
        <f>$C42*I42*Days!$F$1</f>
        <v>8</v>
      </c>
      <c r="N42">
        <f>$C42*J42*Days!$F$1</f>
        <v>0</v>
      </c>
      <c r="O42" s="27"/>
      <c r="P42">
        <f t="shared" ca="1" si="24"/>
        <v>-8</v>
      </c>
      <c r="Q42">
        <f t="shared" ca="1" si="25"/>
        <v>-8</v>
      </c>
      <c r="R42">
        <f t="shared" ca="1" si="26"/>
        <v>0</v>
      </c>
      <c r="S42" s="27"/>
      <c r="T42" s="7">
        <f t="shared" si="27"/>
        <v>45594</v>
      </c>
      <c r="U42" s="6">
        <f t="shared" si="28"/>
        <v>1</v>
      </c>
      <c r="V42">
        <f>COUNTIFS('2024 - L&amp;G R64 - Test Instances'!H:H,B42,'2024 - L&amp;G R64 - Test Instances'!L:L,$V$2,'2024 - L&amp;G R64 - Test Instances'!O:O,"Done")</f>
        <v>0</v>
      </c>
      <c r="W42">
        <f>COUNTIFS('2024 - L&amp;G R64 - Test Instances'!H:H,B42,'2024 - L&amp;G R64 - Test Instances'!L:L,$W$2,'2024 - L&amp;G R64 - Test Instances'!O:O,"Done")</f>
        <v>0</v>
      </c>
      <c r="X42">
        <f>COUNTIFS('2024 - L&amp;G R64 - Test Instances'!H:H,B42,'2024 - L&amp;G R64 - Test Instances'!L:L,$X$2,'2024 - L&amp;G R64 - Test Instances'!O:O,"Done")</f>
        <v>0</v>
      </c>
      <c r="Y42" s="27">
        <v>8</v>
      </c>
      <c r="Z42" s="29">
        <f ca="1">IF(B42&gt;TODAY(),"",SUM($V$3:V42)/SUM($D$3:D42))</f>
        <v>7.5882352941176467</v>
      </c>
      <c r="AA42" s="29">
        <f ca="1">IF(B42&gt;TODAY(),"",SUM($W$3:W42)/SUM($E$3:E42))</f>
        <v>12.111111111111111</v>
      </c>
      <c r="AB42" s="29" t="e">
        <f ca="1">IF(B42&gt;TODAY(),"",SUM($X$3:X42)/SUM($F$3:F42))</f>
        <v>#DIV/0!</v>
      </c>
      <c r="AC42" s="27"/>
      <c r="AD42" s="7">
        <f t="shared" si="29"/>
        <v>45594</v>
      </c>
      <c r="AE42" s="29">
        <f t="shared" si="30"/>
        <v>16</v>
      </c>
      <c r="AF42" s="37">
        <f t="shared" si="31"/>
        <v>0</v>
      </c>
      <c r="AG42" s="29">
        <f t="shared" ca="1" si="32"/>
        <v>19.699346405228759</v>
      </c>
      <c r="AH42" s="27"/>
      <c r="AI42" s="7">
        <f t="shared" si="33"/>
        <v>45594</v>
      </c>
      <c r="AJ42" s="15">
        <f t="shared" si="19"/>
        <v>-94</v>
      </c>
      <c r="AK42" s="15">
        <f t="shared" ca="1" si="40"/>
        <v>32</v>
      </c>
      <c r="AL42" s="27"/>
      <c r="AM42" s="11">
        <f t="shared" si="34"/>
        <v>45594</v>
      </c>
      <c r="AN42" s="28">
        <f t="shared" ca="1" si="41"/>
        <v>0</v>
      </c>
      <c r="AO42" s="28" t="e">
        <f t="shared" ca="1" si="42"/>
        <v>#DIV/0!</v>
      </c>
      <c r="AP42">
        <f t="shared" si="35"/>
        <v>0</v>
      </c>
      <c r="AQ42" s="11">
        <f t="shared" ca="1" si="23"/>
        <v>45612.2</v>
      </c>
      <c r="AR42" s="29">
        <f ca="1">AK42/(NETWORKDAYS(B42,$AU$1,Days!$A$11:$A$25)-1)</f>
        <v>-3.2</v>
      </c>
      <c r="AS42" s="29">
        <f t="shared" ca="1" si="17"/>
        <v>-1.6</v>
      </c>
      <c r="AT42" s="27"/>
      <c r="AV42" s="10">
        <f t="shared" si="36"/>
        <v>0</v>
      </c>
      <c r="AW42" s="10">
        <f t="shared" si="37"/>
        <v>0</v>
      </c>
      <c r="AX42" s="10">
        <f t="shared" si="38"/>
        <v>0</v>
      </c>
      <c r="AY42" s="7">
        <f t="shared" si="39"/>
        <v>45594</v>
      </c>
      <c r="AZ42">
        <f ca="1">IF(B42&gt;TODAY(),"",SUM($V$3:V42)/SUM($AV$3:AV42))</f>
        <v>7.5882352941176467</v>
      </c>
      <c r="BA42">
        <f ca="1">IF(B42&gt;TODAY(),"",SUM($W$3:W42)/SUM($AW$3:AW42))</f>
        <v>12.823529411764707</v>
      </c>
      <c r="BB42" t="e">
        <f ca="1">IF(B42&gt;TODAY(),"",SUM($X$3:X42)/SUM($AX$3:AX42))</f>
        <v>#DIV/0!</v>
      </c>
    </row>
    <row r="43" spans="1:54" x14ac:dyDescent="0.25">
      <c r="A43" s="6" t="str">
        <f>VLOOKUP(WEEKDAY(B43,2),Days!$A$1:$B$7,2,0)</f>
        <v>Wed</v>
      </c>
      <c r="B43" s="7">
        <f t="shared" si="18"/>
        <v>45595</v>
      </c>
      <c r="C43" s="6">
        <f>IF(AND(A43&lt;&gt;"Sat",A43&lt;&gt;"Sun",ISERROR(VLOOKUP(B43,Days!$A$10:$A$38,1,0))),1,(IF(AF43&lt;&gt;0,1,0)))</f>
        <v>1</v>
      </c>
      <c r="D43" s="10"/>
      <c r="E43" s="10"/>
      <c r="F43" s="10"/>
      <c r="G43" s="27"/>
      <c r="H43" s="10">
        <v>1</v>
      </c>
      <c r="I43" s="10">
        <v>1</v>
      </c>
      <c r="J43" s="10">
        <v>0</v>
      </c>
      <c r="K43" s="27"/>
      <c r="L43">
        <f>$C43*H43*Days!$F$1</f>
        <v>8</v>
      </c>
      <c r="M43">
        <f>$C43*I43*Days!$F$1</f>
        <v>8</v>
      </c>
      <c r="N43">
        <f>$C43*J43*Days!$F$1</f>
        <v>0</v>
      </c>
      <c r="O43" s="27"/>
      <c r="P43">
        <f t="shared" ca="1" si="24"/>
        <v>-8</v>
      </c>
      <c r="Q43">
        <f t="shared" ca="1" si="25"/>
        <v>-8</v>
      </c>
      <c r="R43">
        <f t="shared" ca="1" si="26"/>
        <v>0</v>
      </c>
      <c r="S43" s="27"/>
      <c r="T43" s="7">
        <f t="shared" si="27"/>
        <v>45595</v>
      </c>
      <c r="U43" s="6">
        <f t="shared" si="28"/>
        <v>1</v>
      </c>
      <c r="V43">
        <f>COUNTIFS('2024 - L&amp;G R64 - Test Instances'!H:H,B43,'2024 - L&amp;G R64 - Test Instances'!L:L,$V$2,'2024 - L&amp;G R64 - Test Instances'!O:O,"Done")</f>
        <v>0</v>
      </c>
      <c r="W43">
        <f>COUNTIFS('2024 - L&amp;G R64 - Test Instances'!H:H,B43,'2024 - L&amp;G R64 - Test Instances'!L:L,$W$2,'2024 - L&amp;G R64 - Test Instances'!O:O,"Done")</f>
        <v>0</v>
      </c>
      <c r="X43">
        <f>COUNTIFS('2024 - L&amp;G R64 - Test Instances'!H:H,B43,'2024 - L&amp;G R64 - Test Instances'!L:L,$X$2,'2024 - L&amp;G R64 - Test Instances'!O:O,"Done")</f>
        <v>0</v>
      </c>
      <c r="Y43" s="27">
        <v>8</v>
      </c>
      <c r="Z43" s="29">
        <f ca="1">IF(B43&gt;TODAY(),"",SUM($V$3:V43)/SUM($D$3:D43))</f>
        <v>7.5882352941176467</v>
      </c>
      <c r="AA43" s="29">
        <f ca="1">IF(B43&gt;TODAY(),"",SUM($W$3:W43)/SUM($E$3:E43))</f>
        <v>12.111111111111111</v>
      </c>
      <c r="AB43" s="29" t="e">
        <f ca="1">IF(B43&gt;TODAY(),"",SUM($X$3:X43)/SUM($F$3:F43))</f>
        <v>#DIV/0!</v>
      </c>
      <c r="AC43" s="27"/>
      <c r="AD43" s="7">
        <f t="shared" si="29"/>
        <v>45595</v>
      </c>
      <c r="AE43" s="29">
        <f t="shared" si="30"/>
        <v>16</v>
      </c>
      <c r="AF43" s="37">
        <f t="shared" si="31"/>
        <v>0</v>
      </c>
      <c r="AG43" s="29">
        <f t="shared" ca="1" si="32"/>
        <v>19.699346405228759</v>
      </c>
      <c r="AH43" s="27"/>
      <c r="AI43" s="7">
        <f t="shared" si="33"/>
        <v>45595</v>
      </c>
      <c r="AJ43" s="15">
        <f t="shared" si="19"/>
        <v>-110</v>
      </c>
      <c r="AK43" s="15">
        <f t="shared" ca="1" si="40"/>
        <v>32</v>
      </c>
      <c r="AL43" s="27"/>
      <c r="AM43" s="11">
        <f t="shared" si="34"/>
        <v>45595</v>
      </c>
      <c r="AN43" s="28">
        <f t="shared" ca="1" si="41"/>
        <v>0</v>
      </c>
      <c r="AO43" s="28" t="e">
        <f t="shared" ca="1" si="42"/>
        <v>#DIV/0!</v>
      </c>
      <c r="AP43">
        <f t="shared" si="35"/>
        <v>0</v>
      </c>
      <c r="AQ43" s="11">
        <f t="shared" ca="1" si="23"/>
        <v>45612.2</v>
      </c>
      <c r="AR43" s="29">
        <f ca="1">AK43/(NETWORKDAYS(B43,$AU$1,Days!$A$11:$A$25)-1)</f>
        <v>-2.9090909090909092</v>
      </c>
      <c r="AS43" s="29">
        <f t="shared" ca="1" si="17"/>
        <v>-1.4545454545454546</v>
      </c>
      <c r="AT43" s="27"/>
      <c r="AV43" s="10">
        <f t="shared" si="36"/>
        <v>0</v>
      </c>
      <c r="AW43" s="10">
        <f t="shared" si="37"/>
        <v>0</v>
      </c>
      <c r="AX43" s="10">
        <f t="shared" si="38"/>
        <v>0</v>
      </c>
      <c r="AY43" s="7">
        <f t="shared" si="39"/>
        <v>45595</v>
      </c>
      <c r="AZ43">
        <f ca="1">IF(B43&gt;TODAY(),"",SUM($V$3:V43)/SUM($AV$3:AV43))</f>
        <v>7.5882352941176467</v>
      </c>
      <c r="BA43">
        <f ca="1">IF(B43&gt;TODAY(),"",SUM($W$3:W43)/SUM($AW$3:AW43))</f>
        <v>12.823529411764707</v>
      </c>
      <c r="BB43" t="e">
        <f ca="1">IF(B43&gt;TODAY(),"",SUM($X$3:X43)/SUM($AX$3:AX43))</f>
        <v>#DIV/0!</v>
      </c>
    </row>
    <row r="44" spans="1:54" x14ac:dyDescent="0.25">
      <c r="A44" s="6" t="str">
        <f>VLOOKUP(WEEKDAY(B44,2),Days!$A$1:$B$7,2,0)</f>
        <v>Thu</v>
      </c>
      <c r="B44" s="7">
        <f t="shared" si="18"/>
        <v>45596</v>
      </c>
      <c r="C44" s="6">
        <f>IF(AND(A44&lt;&gt;"Sat",A44&lt;&gt;"Sun",ISERROR(VLOOKUP(B44,Days!$A$10:$A$38,1,0))),1,(IF(AF44&lt;&gt;0,1,0)))</f>
        <v>1</v>
      </c>
      <c r="D44" s="10"/>
      <c r="E44" s="10"/>
      <c r="F44" s="10"/>
      <c r="G44" s="27"/>
      <c r="H44" s="10">
        <v>1</v>
      </c>
      <c r="I44" s="10">
        <v>1</v>
      </c>
      <c r="J44" s="10">
        <v>0</v>
      </c>
      <c r="K44" s="27"/>
      <c r="L44">
        <f>$C44*H44*Days!$F$1</f>
        <v>8</v>
      </c>
      <c r="M44">
        <f>$C44*I44*Days!$F$1</f>
        <v>8</v>
      </c>
      <c r="N44">
        <f>$C44*J44*Days!$F$1</f>
        <v>0</v>
      </c>
      <c r="O44" s="27"/>
      <c r="P44">
        <f t="shared" ca="1" si="24"/>
        <v>-8</v>
      </c>
      <c r="Q44">
        <f t="shared" ca="1" si="25"/>
        <v>-8</v>
      </c>
      <c r="R44">
        <f t="shared" ca="1" si="26"/>
        <v>0</v>
      </c>
      <c r="S44" s="27"/>
      <c r="T44" s="7">
        <f t="shared" si="27"/>
        <v>45596</v>
      </c>
      <c r="U44" s="6">
        <f t="shared" si="28"/>
        <v>1</v>
      </c>
      <c r="V44">
        <f>COUNTIFS('2024 - L&amp;G R64 - Test Instances'!H:H,B44,'2024 - L&amp;G R64 - Test Instances'!L:L,$V$2,'2024 - L&amp;G R64 - Test Instances'!O:O,"Done")</f>
        <v>0</v>
      </c>
      <c r="W44">
        <f>COUNTIFS('2024 - L&amp;G R64 - Test Instances'!H:H,B44,'2024 - L&amp;G R64 - Test Instances'!L:L,$W$2,'2024 - L&amp;G R64 - Test Instances'!O:O,"Done")</f>
        <v>0</v>
      </c>
      <c r="X44">
        <f>COUNTIFS('2024 - L&amp;G R64 - Test Instances'!H:H,B44,'2024 - L&amp;G R64 - Test Instances'!L:L,$X$2,'2024 - L&amp;G R64 - Test Instances'!O:O,"Done")</f>
        <v>0</v>
      </c>
      <c r="Y44" s="27">
        <v>8</v>
      </c>
      <c r="Z44" s="29">
        <f ca="1">IF(B44&gt;TODAY(),"",SUM($V$3:V44)/SUM($D$3:D44))</f>
        <v>7.5882352941176467</v>
      </c>
      <c r="AA44" s="29">
        <f ca="1">IF(B44&gt;TODAY(),"",SUM($W$3:W44)/SUM($E$3:E44))</f>
        <v>12.111111111111111</v>
      </c>
      <c r="AB44" s="29" t="e">
        <f ca="1">IF(B44&gt;TODAY(),"",SUM($X$3:X44)/SUM($F$3:F44))</f>
        <v>#DIV/0!</v>
      </c>
      <c r="AC44" s="27"/>
      <c r="AD44" s="7">
        <f t="shared" si="29"/>
        <v>45596</v>
      </c>
      <c r="AE44" s="29">
        <f t="shared" si="30"/>
        <v>16</v>
      </c>
      <c r="AF44" s="37">
        <f t="shared" si="31"/>
        <v>0</v>
      </c>
      <c r="AG44" s="29">
        <f t="shared" ca="1" si="32"/>
        <v>19.699346405228759</v>
      </c>
      <c r="AH44" s="27"/>
      <c r="AI44" s="7">
        <f t="shared" si="33"/>
        <v>45596</v>
      </c>
      <c r="AJ44" s="15">
        <f t="shared" si="19"/>
        <v>-126</v>
      </c>
      <c r="AK44" s="15">
        <f t="shared" ca="1" si="40"/>
        <v>32</v>
      </c>
      <c r="AL44" s="27"/>
      <c r="AM44" s="11">
        <f t="shared" si="34"/>
        <v>45596</v>
      </c>
      <c r="AN44" s="28">
        <f t="shared" ca="1" si="41"/>
        <v>0</v>
      </c>
      <c r="AO44" s="28" t="e">
        <f t="shared" ca="1" si="42"/>
        <v>#DIV/0!</v>
      </c>
      <c r="AP44">
        <f t="shared" si="35"/>
        <v>0</v>
      </c>
      <c r="AQ44" s="11">
        <f t="shared" ca="1" si="23"/>
        <v>45612.2</v>
      </c>
      <c r="AR44" s="29">
        <f ca="1">AK44/(NETWORKDAYS(B44,$AU$1,Days!$A$11:$A$25)-1)</f>
        <v>-2.6666666666666665</v>
      </c>
      <c r="AS44" s="29">
        <f t="shared" ca="1" si="17"/>
        <v>-1.3333333333333333</v>
      </c>
      <c r="AT44" s="27"/>
      <c r="AV44" s="10">
        <f t="shared" si="36"/>
        <v>0</v>
      </c>
      <c r="AW44" s="10">
        <f t="shared" si="37"/>
        <v>0</v>
      </c>
      <c r="AX44" s="10">
        <f t="shared" si="38"/>
        <v>0</v>
      </c>
      <c r="AY44" s="7">
        <f t="shared" si="39"/>
        <v>45596</v>
      </c>
      <c r="AZ44">
        <f ca="1">IF(B44&gt;TODAY(),"",SUM($V$3:V44)/SUM($AV$3:AV44))</f>
        <v>7.5882352941176467</v>
      </c>
      <c r="BA44">
        <f ca="1">IF(B44&gt;TODAY(),"",SUM($W$3:W44)/SUM($AW$3:AW44))</f>
        <v>12.823529411764707</v>
      </c>
      <c r="BB44" t="e">
        <f ca="1">IF(B44&gt;TODAY(),"",SUM($X$3:X44)/SUM($AX$3:AX44))</f>
        <v>#DIV/0!</v>
      </c>
    </row>
    <row r="45" spans="1:54" x14ac:dyDescent="0.25">
      <c r="A45" s="6" t="str">
        <f>VLOOKUP(WEEKDAY(B45,2),Days!$A$1:$B$7,2,0)</f>
        <v>Fri</v>
      </c>
      <c r="B45" s="7">
        <f t="shared" si="18"/>
        <v>45597</v>
      </c>
      <c r="C45" s="6">
        <f>IF(AND(A45&lt;&gt;"Sat",A45&lt;&gt;"Sun",ISERROR(VLOOKUP(B45,Days!$A$10:$A$38,1,0))),1,(IF(AF45&lt;&gt;0,1,0)))</f>
        <v>1</v>
      </c>
      <c r="D45" s="10"/>
      <c r="E45" s="10"/>
      <c r="F45" s="10"/>
      <c r="G45" s="27"/>
      <c r="H45" s="10">
        <v>1</v>
      </c>
      <c r="I45" s="10">
        <v>1</v>
      </c>
      <c r="J45" s="10">
        <v>0</v>
      </c>
      <c r="K45" s="27"/>
      <c r="L45">
        <f>$C45*H45*Days!$F$1</f>
        <v>8</v>
      </c>
      <c r="M45">
        <f>$C45*I45*Days!$F$1</f>
        <v>8</v>
      </c>
      <c r="N45">
        <f>$C45*J45*Days!$F$1</f>
        <v>0</v>
      </c>
      <c r="O45" s="27"/>
      <c r="P45">
        <f t="shared" ca="1" si="24"/>
        <v>-8</v>
      </c>
      <c r="Q45">
        <f t="shared" ca="1" si="25"/>
        <v>-8</v>
      </c>
      <c r="R45">
        <f t="shared" ca="1" si="26"/>
        <v>0</v>
      </c>
      <c r="S45" s="27"/>
      <c r="T45" s="7">
        <f t="shared" si="27"/>
        <v>45597</v>
      </c>
      <c r="U45" s="6">
        <f t="shared" si="28"/>
        <v>1</v>
      </c>
      <c r="V45">
        <f>COUNTIFS('2024 - L&amp;G R64 - Test Instances'!H:H,B45,'2024 - L&amp;G R64 - Test Instances'!L:L,$V$2,'2024 - L&amp;G R64 - Test Instances'!O:O,"Done")</f>
        <v>0</v>
      </c>
      <c r="W45">
        <f>COUNTIFS('2024 - L&amp;G R64 - Test Instances'!H:H,B45,'2024 - L&amp;G R64 - Test Instances'!L:L,$W$2,'2024 - L&amp;G R64 - Test Instances'!O:O,"Done")</f>
        <v>0</v>
      </c>
      <c r="X45">
        <f>COUNTIFS('2024 - L&amp;G R64 - Test Instances'!H:H,B45,'2024 - L&amp;G R64 - Test Instances'!L:L,$X$2,'2024 - L&amp;G R64 - Test Instances'!O:O,"Done")</f>
        <v>0</v>
      </c>
      <c r="Y45" s="27">
        <v>8</v>
      </c>
      <c r="Z45" s="29">
        <f ca="1">IF(B45&gt;TODAY(),"",SUM($V$3:V45)/SUM($D$3:D45))</f>
        <v>7.5882352941176467</v>
      </c>
      <c r="AA45" s="29">
        <f ca="1">IF(B45&gt;TODAY(),"",SUM($W$3:W45)/SUM($E$3:E45))</f>
        <v>12.111111111111111</v>
      </c>
      <c r="AB45" s="29" t="e">
        <f ca="1">IF(B45&gt;TODAY(),"",SUM($X$3:X45)/SUM($F$3:F45))</f>
        <v>#DIV/0!</v>
      </c>
      <c r="AC45" s="27"/>
      <c r="AD45" s="7">
        <f t="shared" si="29"/>
        <v>45597</v>
      </c>
      <c r="AE45" s="29">
        <f t="shared" si="30"/>
        <v>16</v>
      </c>
      <c r="AF45" s="37">
        <f t="shared" si="31"/>
        <v>0</v>
      </c>
      <c r="AG45" s="29">
        <f t="shared" ca="1" si="32"/>
        <v>19.699346405228759</v>
      </c>
      <c r="AH45" s="27"/>
      <c r="AI45" s="7">
        <f t="shared" si="33"/>
        <v>45597</v>
      </c>
      <c r="AJ45" s="15">
        <f t="shared" si="19"/>
        <v>-142</v>
      </c>
      <c r="AK45" s="15">
        <f t="shared" ca="1" si="40"/>
        <v>32</v>
      </c>
      <c r="AL45" s="27"/>
      <c r="AM45" s="11">
        <f t="shared" si="34"/>
        <v>45597</v>
      </c>
      <c r="AN45" s="28">
        <f t="shared" ca="1" si="41"/>
        <v>0</v>
      </c>
      <c r="AO45" s="28" t="e">
        <f t="shared" ca="1" si="42"/>
        <v>#DIV/0!</v>
      </c>
      <c r="AP45">
        <f t="shared" si="35"/>
        <v>0</v>
      </c>
      <c r="AQ45" s="11">
        <f t="shared" ca="1" si="23"/>
        <v>45612.2</v>
      </c>
      <c r="AR45" s="29">
        <f ca="1">AK45/(NETWORKDAYS(B45,$AU$1,Days!$A$11:$A$25)-1)</f>
        <v>-2.4615384615384617</v>
      </c>
      <c r="AS45" s="29">
        <f t="shared" ca="1" si="17"/>
        <v>-1.2307692307692308</v>
      </c>
      <c r="AT45" s="27"/>
      <c r="AV45" s="10">
        <f t="shared" si="36"/>
        <v>0</v>
      </c>
      <c r="AW45" s="10">
        <f t="shared" si="37"/>
        <v>0</v>
      </c>
      <c r="AX45" s="10">
        <f t="shared" si="38"/>
        <v>0</v>
      </c>
      <c r="AY45" s="7">
        <f t="shared" si="39"/>
        <v>45597</v>
      </c>
      <c r="AZ45">
        <f ca="1">IF(B45&gt;TODAY(),"",SUM($V$3:V45)/SUM($AV$3:AV45))</f>
        <v>7.5882352941176467</v>
      </c>
      <c r="BA45">
        <f ca="1">IF(B45&gt;TODAY(),"",SUM($W$3:W45)/SUM($AW$3:AW45))</f>
        <v>12.823529411764707</v>
      </c>
      <c r="BB45" t="e">
        <f ca="1">IF(B45&gt;TODAY(),"",SUM($X$3:X45)/SUM($AX$3:AX45))</f>
        <v>#DIV/0!</v>
      </c>
    </row>
    <row r="46" spans="1:54" x14ac:dyDescent="0.25">
      <c r="A46" s="6" t="str">
        <f>VLOOKUP(WEEKDAY(B46,2),Days!$A$1:$B$7,2,0)</f>
        <v>Sat</v>
      </c>
      <c r="B46" s="7">
        <f t="shared" si="18"/>
        <v>45598</v>
      </c>
      <c r="C46" s="6">
        <f>IF(AND(A46&lt;&gt;"Sat",A46&lt;&gt;"Sun",ISERROR(VLOOKUP(B46,Days!$A$10:$A$38,1,0))),1,(IF(AF46&lt;&gt;0,1,0)))</f>
        <v>0</v>
      </c>
      <c r="D46" s="10"/>
      <c r="E46" s="10"/>
      <c r="F46" s="10"/>
      <c r="G46" s="27"/>
      <c r="H46" s="10">
        <v>0</v>
      </c>
      <c r="I46" s="10">
        <v>0</v>
      </c>
      <c r="J46" s="10">
        <v>0</v>
      </c>
      <c r="K46" s="27"/>
      <c r="L46">
        <f>$C46*H46*Days!$F$1</f>
        <v>0</v>
      </c>
      <c r="M46">
        <f>$C46*I46*Days!$F$1</f>
        <v>0</v>
      </c>
      <c r="N46">
        <f>$C46*J46*Days!$F$1</f>
        <v>0</v>
      </c>
      <c r="O46" s="27"/>
      <c r="P46">
        <f t="shared" ca="1" si="24"/>
        <v>0</v>
      </c>
      <c r="Q46">
        <f t="shared" ca="1" si="25"/>
        <v>0</v>
      </c>
      <c r="R46">
        <f t="shared" ca="1" si="26"/>
        <v>0</v>
      </c>
      <c r="S46" s="27"/>
      <c r="T46" s="7">
        <f t="shared" si="27"/>
        <v>45598</v>
      </c>
      <c r="U46" s="6">
        <f t="shared" si="28"/>
        <v>0</v>
      </c>
      <c r="V46">
        <f>COUNTIFS('2024 - L&amp;G R64 - Test Instances'!H:H,B46,'2024 - L&amp;G R64 - Test Instances'!L:L,$V$2,'2024 - L&amp;G R64 - Test Instances'!O:O,"Done")</f>
        <v>0</v>
      </c>
      <c r="W46">
        <f>COUNTIFS('2024 - L&amp;G R64 - Test Instances'!H:H,B46,'2024 - L&amp;G R64 - Test Instances'!L:L,$W$2,'2024 - L&amp;G R64 - Test Instances'!O:O,"Done")</f>
        <v>0</v>
      </c>
      <c r="X46">
        <f>COUNTIFS('2024 - L&amp;G R64 - Test Instances'!H:H,B46,'2024 - L&amp;G R64 - Test Instances'!L:L,$X$2,'2024 - L&amp;G R64 - Test Instances'!O:O,"Done")</f>
        <v>0</v>
      </c>
      <c r="Y46" s="27">
        <v>8</v>
      </c>
      <c r="Z46" s="29">
        <f ca="1">IF(B46&gt;TODAY(),"",SUM($V$3:V46)/SUM($D$3:D46))</f>
        <v>7.5882352941176467</v>
      </c>
      <c r="AA46" s="29">
        <f ca="1">IF(B46&gt;TODAY(),"",SUM($W$3:W46)/SUM($E$3:E46))</f>
        <v>12.111111111111111</v>
      </c>
      <c r="AB46" s="29" t="e">
        <f ca="1">IF(B46&gt;TODAY(),"",SUM($X$3:X46)/SUM($F$3:F46))</f>
        <v>#DIV/0!</v>
      </c>
      <c r="AC46" s="27"/>
      <c r="AD46" s="7">
        <f t="shared" si="29"/>
        <v>45598</v>
      </c>
      <c r="AE46" s="29">
        <f t="shared" si="30"/>
        <v>0</v>
      </c>
      <c r="AF46" s="37">
        <f t="shared" si="31"/>
        <v>0</v>
      </c>
      <c r="AG46" s="29">
        <f t="shared" ca="1" si="32"/>
        <v>19.699346405228759</v>
      </c>
      <c r="AH46" s="27"/>
      <c r="AI46" s="7">
        <f t="shared" si="33"/>
        <v>45598</v>
      </c>
      <c r="AJ46" s="15">
        <f t="shared" si="19"/>
        <v>-142</v>
      </c>
      <c r="AK46" s="15">
        <f t="shared" ca="1" si="40"/>
        <v>32</v>
      </c>
      <c r="AL46" s="27"/>
      <c r="AM46" s="11">
        <f t="shared" si="34"/>
        <v>45598</v>
      </c>
      <c r="AN46" s="28">
        <f t="shared" ca="1" si="41"/>
        <v>0</v>
      </c>
      <c r="AO46" s="28" t="e">
        <f t="shared" ca="1" si="42"/>
        <v>#DIV/0!</v>
      </c>
      <c r="AP46">
        <f t="shared" si="35"/>
        <v>0</v>
      </c>
      <c r="AQ46" s="11">
        <f t="shared" ca="1" si="23"/>
        <v>45612.2</v>
      </c>
      <c r="AR46" s="29">
        <f ca="1">AK46/(NETWORKDAYS(B46,$AU$1,Days!$A$11:$A$25)-1)</f>
        <v>-2.4615384615384617</v>
      </c>
      <c r="AS46" s="29">
        <f t="shared" ca="1" si="17"/>
        <v>-1.2307692307692308</v>
      </c>
      <c r="AT46" s="27"/>
      <c r="AV46" s="10">
        <f t="shared" si="36"/>
        <v>0</v>
      </c>
      <c r="AW46" s="10">
        <f t="shared" si="37"/>
        <v>0</v>
      </c>
      <c r="AX46" s="10">
        <f t="shared" si="38"/>
        <v>0</v>
      </c>
      <c r="AY46" s="7">
        <f t="shared" si="39"/>
        <v>45598</v>
      </c>
      <c r="AZ46">
        <f ca="1">IF(B46&gt;TODAY(),"",SUM($V$3:V46)/SUM($AV$3:AV46))</f>
        <v>7.5882352941176467</v>
      </c>
      <c r="BA46">
        <f ca="1">IF(B46&gt;TODAY(),"",SUM($W$3:W46)/SUM($AW$3:AW46))</f>
        <v>12.823529411764707</v>
      </c>
      <c r="BB46" t="e">
        <f ca="1">IF(B46&gt;TODAY(),"",SUM($X$3:X46)/SUM($AX$3:AX46))</f>
        <v>#DIV/0!</v>
      </c>
    </row>
    <row r="47" spans="1:54" x14ac:dyDescent="0.25">
      <c r="A47" s="6" t="str">
        <f>VLOOKUP(WEEKDAY(B47,2),Days!$A$1:$B$7,2,0)</f>
        <v>Sun</v>
      </c>
      <c r="B47" s="7">
        <f t="shared" si="18"/>
        <v>45599</v>
      </c>
      <c r="C47" s="6">
        <f>IF(AND(A47&lt;&gt;"Sat",A47&lt;&gt;"Sun",ISERROR(VLOOKUP(B47,Days!$A$10:$A$38,1,0))),1,(IF(AF47&lt;&gt;0,1,0)))</f>
        <v>0</v>
      </c>
      <c r="D47" s="10"/>
      <c r="E47" s="10"/>
      <c r="F47" s="10"/>
      <c r="G47" s="27"/>
      <c r="H47" s="10">
        <v>0</v>
      </c>
      <c r="I47" s="10">
        <v>0</v>
      </c>
      <c r="J47" s="10">
        <v>0</v>
      </c>
      <c r="K47" s="27"/>
      <c r="L47">
        <f>$C47*H47*Days!$F$1</f>
        <v>0</v>
      </c>
      <c r="M47">
        <f>$C47*I47*Days!$F$1</f>
        <v>0</v>
      </c>
      <c r="N47">
        <f>$C47*J47*Days!$F$1</f>
        <v>0</v>
      </c>
      <c r="O47" s="27"/>
      <c r="P47">
        <f t="shared" ca="1" si="24"/>
        <v>0</v>
      </c>
      <c r="Q47">
        <f t="shared" ca="1" si="25"/>
        <v>0</v>
      </c>
      <c r="R47">
        <f t="shared" ca="1" si="26"/>
        <v>0</v>
      </c>
      <c r="S47" s="27"/>
      <c r="T47" s="7">
        <f t="shared" si="27"/>
        <v>45599</v>
      </c>
      <c r="U47" s="6">
        <f t="shared" si="28"/>
        <v>0</v>
      </c>
      <c r="V47">
        <f>COUNTIFS('2024 - L&amp;G R64 - Test Instances'!H:H,B47,'2024 - L&amp;G R64 - Test Instances'!L:L,$V$2,'2024 - L&amp;G R64 - Test Instances'!O:O,"Done")</f>
        <v>0</v>
      </c>
      <c r="W47">
        <f>COUNTIFS('2024 - L&amp;G R64 - Test Instances'!H:H,B47,'2024 - L&amp;G R64 - Test Instances'!L:L,$W$2,'2024 - L&amp;G R64 - Test Instances'!O:O,"Done")</f>
        <v>0</v>
      </c>
      <c r="X47">
        <f>COUNTIFS('2024 - L&amp;G R64 - Test Instances'!H:H,B47,'2024 - L&amp;G R64 - Test Instances'!L:L,$X$2,'2024 - L&amp;G R64 - Test Instances'!O:O,"Done")</f>
        <v>0</v>
      </c>
      <c r="Y47" s="27">
        <v>8</v>
      </c>
      <c r="Z47" s="29">
        <f ca="1">IF(B47&gt;TODAY(),"",SUM($V$3:V47)/SUM($D$3:D47))</f>
        <v>7.5882352941176467</v>
      </c>
      <c r="AA47" s="29">
        <f ca="1">IF(B47&gt;TODAY(),"",SUM($W$3:W47)/SUM($E$3:E47))</f>
        <v>12.111111111111111</v>
      </c>
      <c r="AB47" s="29" t="e">
        <f ca="1">IF(B47&gt;TODAY(),"",SUM($X$3:X47)/SUM($F$3:F47))</f>
        <v>#DIV/0!</v>
      </c>
      <c r="AC47" s="27"/>
      <c r="AD47" s="7">
        <f t="shared" si="29"/>
        <v>45599</v>
      </c>
      <c r="AE47" s="29">
        <f t="shared" si="30"/>
        <v>0</v>
      </c>
      <c r="AF47" s="37">
        <f t="shared" si="31"/>
        <v>0</v>
      </c>
      <c r="AG47" s="29">
        <f t="shared" ca="1" si="32"/>
        <v>19.699346405228759</v>
      </c>
      <c r="AH47" s="27"/>
      <c r="AI47" s="7">
        <f t="shared" si="33"/>
        <v>45599</v>
      </c>
      <c r="AJ47" s="15">
        <f t="shared" si="19"/>
        <v>-142</v>
      </c>
      <c r="AK47" s="15">
        <f t="shared" ca="1" si="40"/>
        <v>32</v>
      </c>
      <c r="AL47" s="27"/>
      <c r="AM47" s="11">
        <f t="shared" si="34"/>
        <v>45599</v>
      </c>
      <c r="AN47" s="28">
        <f t="shared" ca="1" si="41"/>
        <v>0</v>
      </c>
      <c r="AO47" s="28" t="e">
        <f t="shared" ca="1" si="42"/>
        <v>#DIV/0!</v>
      </c>
      <c r="AP47">
        <f t="shared" si="35"/>
        <v>0</v>
      </c>
      <c r="AQ47" s="11">
        <f t="shared" ca="1" si="23"/>
        <v>45612.2</v>
      </c>
      <c r="AR47" s="29">
        <f ca="1">AK47/(NETWORKDAYS(B47,$AU$1,Days!$A$11:$A$25)-1)</f>
        <v>-2.4615384615384617</v>
      </c>
      <c r="AS47" s="29">
        <f t="shared" ca="1" si="17"/>
        <v>-1.2307692307692308</v>
      </c>
      <c r="AT47" s="27"/>
      <c r="AV47" s="10">
        <f t="shared" si="36"/>
        <v>0</v>
      </c>
      <c r="AW47" s="10">
        <f t="shared" si="37"/>
        <v>0</v>
      </c>
      <c r="AX47" s="10">
        <f t="shared" si="38"/>
        <v>0</v>
      </c>
      <c r="AY47" s="7">
        <f t="shared" si="39"/>
        <v>45599</v>
      </c>
      <c r="AZ47">
        <f ca="1">IF(B47&gt;TODAY(),"",SUM($V$3:V47)/SUM($AV$3:AV47))</f>
        <v>7.5882352941176467</v>
      </c>
      <c r="BA47">
        <f ca="1">IF(B47&gt;TODAY(),"",SUM($W$3:W47)/SUM($AW$3:AW47))</f>
        <v>12.823529411764707</v>
      </c>
      <c r="BB47" t="e">
        <f ca="1">IF(B47&gt;TODAY(),"",SUM($X$3:X47)/SUM($AX$3:AX47))</f>
        <v>#DIV/0!</v>
      </c>
    </row>
    <row r="48" spans="1:54" x14ac:dyDescent="0.25">
      <c r="A48" s="6" t="str">
        <f>VLOOKUP(WEEKDAY(B48,2),Days!$A$1:$B$7,2,0)</f>
        <v>Mon</v>
      </c>
      <c r="B48" s="7">
        <f t="shared" si="18"/>
        <v>45600</v>
      </c>
      <c r="C48" s="6">
        <f>IF(AND(A48&lt;&gt;"Sat",A48&lt;&gt;"Sun",ISERROR(VLOOKUP(B48,Days!$A$10:$A$38,1,0))),1,(IF(AF48&lt;&gt;0,1,0)))</f>
        <v>1</v>
      </c>
      <c r="D48" s="10"/>
      <c r="E48" s="10"/>
      <c r="F48" s="10"/>
      <c r="G48" s="27"/>
      <c r="H48" s="10">
        <v>1</v>
      </c>
      <c r="I48" s="10">
        <v>1</v>
      </c>
      <c r="J48" s="10">
        <v>0</v>
      </c>
      <c r="K48" s="27"/>
      <c r="L48">
        <f>$C48*H48*Days!$F$1</f>
        <v>8</v>
      </c>
      <c r="M48">
        <f>$C48*I48*Days!$F$1</f>
        <v>8</v>
      </c>
      <c r="N48">
        <f>$C48*J48*Days!$F$1</f>
        <v>0</v>
      </c>
      <c r="O48" s="27"/>
      <c r="P48">
        <f t="shared" ca="1" si="24"/>
        <v>-8</v>
      </c>
      <c r="Q48">
        <f t="shared" ca="1" si="25"/>
        <v>-8</v>
      </c>
      <c r="R48">
        <f t="shared" ca="1" si="26"/>
        <v>0</v>
      </c>
      <c r="S48" s="27"/>
      <c r="T48" s="7">
        <f t="shared" si="27"/>
        <v>45600</v>
      </c>
      <c r="U48" s="6">
        <f t="shared" si="28"/>
        <v>1</v>
      </c>
      <c r="V48">
        <f>COUNTIFS('2024 - L&amp;G R64 - Test Instances'!H:H,B48,'2024 - L&amp;G R64 - Test Instances'!L:L,$V$2,'2024 - L&amp;G R64 - Test Instances'!O:O,"Done")</f>
        <v>0</v>
      </c>
      <c r="W48">
        <f>COUNTIFS('2024 - L&amp;G R64 - Test Instances'!H:H,B48,'2024 - L&amp;G R64 - Test Instances'!L:L,$W$2,'2024 - L&amp;G R64 - Test Instances'!O:O,"Done")</f>
        <v>0</v>
      </c>
      <c r="X48">
        <f>COUNTIFS('2024 - L&amp;G R64 - Test Instances'!H:H,B48,'2024 - L&amp;G R64 - Test Instances'!L:L,$X$2,'2024 - L&amp;G R64 - Test Instances'!O:O,"Done")</f>
        <v>0</v>
      </c>
      <c r="Y48" s="27">
        <v>8</v>
      </c>
      <c r="Z48" s="29">
        <f ca="1">IF(B48&gt;TODAY(),"",SUM($V$3:V48)/SUM($D$3:D48))</f>
        <v>7.5882352941176467</v>
      </c>
      <c r="AA48" s="29">
        <f ca="1">IF(B48&gt;TODAY(),"",SUM($W$3:W48)/SUM($E$3:E48))</f>
        <v>12.111111111111111</v>
      </c>
      <c r="AB48" s="29" t="e">
        <f ca="1">IF(B48&gt;TODAY(),"",SUM($X$3:X48)/SUM($F$3:F48))</f>
        <v>#DIV/0!</v>
      </c>
      <c r="AC48" s="27"/>
      <c r="AD48" s="7">
        <f t="shared" si="29"/>
        <v>45600</v>
      </c>
      <c r="AE48" s="29">
        <f t="shared" si="30"/>
        <v>16</v>
      </c>
      <c r="AF48" s="37">
        <f t="shared" si="31"/>
        <v>0</v>
      </c>
      <c r="AG48" s="29">
        <f t="shared" ca="1" si="32"/>
        <v>19.699346405228759</v>
      </c>
      <c r="AH48" s="27"/>
      <c r="AI48" s="7">
        <f t="shared" si="33"/>
        <v>45600</v>
      </c>
      <c r="AJ48" s="15">
        <f t="shared" si="19"/>
        <v>-158</v>
      </c>
      <c r="AK48" s="15">
        <f t="shared" ca="1" si="40"/>
        <v>32</v>
      </c>
      <c r="AL48" s="27"/>
      <c r="AM48" s="11">
        <f t="shared" si="34"/>
        <v>45600</v>
      </c>
      <c r="AN48" s="28">
        <f t="shared" ca="1" si="41"/>
        <v>0</v>
      </c>
      <c r="AO48" s="28" t="e">
        <f t="shared" ca="1" si="42"/>
        <v>#DIV/0!</v>
      </c>
      <c r="AP48">
        <f t="shared" si="35"/>
        <v>0</v>
      </c>
      <c r="AQ48" s="11">
        <f t="shared" ca="1" si="23"/>
        <v>45612.2</v>
      </c>
      <c r="AR48" s="29">
        <f ca="1">AK48/(NETWORKDAYS(B48,$AU$1,Days!$A$11:$A$25)-1)</f>
        <v>-2.2857142857142856</v>
      </c>
      <c r="AS48" s="29">
        <f t="shared" ca="1" si="17"/>
        <v>-1.1428571428571428</v>
      </c>
      <c r="AT48" s="27"/>
      <c r="AV48" s="10">
        <f t="shared" si="36"/>
        <v>0</v>
      </c>
      <c r="AW48" s="10">
        <f t="shared" si="37"/>
        <v>0</v>
      </c>
      <c r="AX48" s="10">
        <f t="shared" si="38"/>
        <v>0</v>
      </c>
      <c r="AY48" s="7">
        <f t="shared" si="39"/>
        <v>45600</v>
      </c>
      <c r="AZ48">
        <f ca="1">IF(B48&gt;TODAY(),"",SUM($V$3:V48)/SUM($AV$3:AV48))</f>
        <v>7.5882352941176467</v>
      </c>
      <c r="BA48">
        <f ca="1">IF(B48&gt;TODAY(),"",SUM($W$3:W48)/SUM($AW$3:AW48))</f>
        <v>12.823529411764707</v>
      </c>
      <c r="BB48" t="e">
        <f ca="1">IF(B48&gt;TODAY(),"",SUM($X$3:X48)/SUM($AX$3:AX48))</f>
        <v>#DIV/0!</v>
      </c>
    </row>
    <row r="49" spans="1:54" x14ac:dyDescent="0.25">
      <c r="A49" s="6" t="str">
        <f>VLOOKUP(WEEKDAY(B49,2),Days!$A$1:$B$7,2,0)</f>
        <v>Tue</v>
      </c>
      <c r="B49" s="7">
        <f t="shared" si="18"/>
        <v>45601</v>
      </c>
      <c r="C49" s="6">
        <f>IF(AND(A49&lt;&gt;"Sat",A49&lt;&gt;"Sun",ISERROR(VLOOKUP(B49,Days!$A$10:$A$38,1,0))),1,(IF(AF49&lt;&gt;0,1,0)))</f>
        <v>0</v>
      </c>
      <c r="D49" s="10"/>
      <c r="E49" s="10"/>
      <c r="F49" s="10"/>
      <c r="G49" s="27"/>
      <c r="H49" s="10">
        <v>1</v>
      </c>
      <c r="I49" s="10">
        <v>1</v>
      </c>
      <c r="J49" s="10">
        <v>0</v>
      </c>
      <c r="K49" s="27"/>
      <c r="L49">
        <f>$C49*H49*Days!$F$1</f>
        <v>0</v>
      </c>
      <c r="M49">
        <f>$C49*I49*Days!$F$1</f>
        <v>0</v>
      </c>
      <c r="N49">
        <f>$C49*J49*Days!$F$1</f>
        <v>0</v>
      </c>
      <c r="O49" s="27"/>
      <c r="P49">
        <f t="shared" ca="1" si="24"/>
        <v>0</v>
      </c>
      <c r="Q49">
        <f t="shared" ca="1" si="25"/>
        <v>0</v>
      </c>
      <c r="R49">
        <f t="shared" ca="1" si="26"/>
        <v>0</v>
      </c>
      <c r="S49" s="27"/>
      <c r="T49" s="7">
        <f t="shared" si="27"/>
        <v>45601</v>
      </c>
      <c r="U49" s="6">
        <f t="shared" si="28"/>
        <v>0</v>
      </c>
      <c r="V49">
        <f>COUNTIFS('2024 - L&amp;G R64 - Test Instances'!H:H,B49,'2024 - L&amp;G R64 - Test Instances'!L:L,$V$2,'2024 - L&amp;G R64 - Test Instances'!O:O,"Done")</f>
        <v>0</v>
      </c>
      <c r="W49">
        <f>COUNTIFS('2024 - L&amp;G R64 - Test Instances'!H:H,B49,'2024 - L&amp;G R64 - Test Instances'!L:L,$W$2,'2024 - L&amp;G R64 - Test Instances'!O:O,"Done")</f>
        <v>0</v>
      </c>
      <c r="X49">
        <f>COUNTIFS('2024 - L&amp;G R64 - Test Instances'!H:H,B49,'2024 - L&amp;G R64 - Test Instances'!L:L,$X$2,'2024 - L&amp;G R64 - Test Instances'!O:O,"Done")</f>
        <v>0</v>
      </c>
      <c r="Y49" s="27">
        <v>8</v>
      </c>
      <c r="Z49" s="29">
        <f ca="1">IF(B49&gt;TODAY(),"",SUM($V$3:V49)/SUM($D$3:D49))</f>
        <v>7.5882352941176467</v>
      </c>
      <c r="AA49" s="29">
        <f ca="1">IF(B49&gt;TODAY(),"",SUM($W$3:W49)/SUM($E$3:E49))</f>
        <v>12.111111111111111</v>
      </c>
      <c r="AB49" s="29" t="e">
        <f ca="1">IF(B49&gt;TODAY(),"",SUM($X$3:X49)/SUM($F$3:F49))</f>
        <v>#DIV/0!</v>
      </c>
      <c r="AC49" s="27"/>
      <c r="AD49" s="7">
        <f t="shared" si="29"/>
        <v>45601</v>
      </c>
      <c r="AE49" s="29">
        <f t="shared" si="30"/>
        <v>0</v>
      </c>
      <c r="AF49" s="37">
        <f t="shared" si="31"/>
        <v>0</v>
      </c>
      <c r="AG49" s="29">
        <f t="shared" ca="1" si="32"/>
        <v>19.699346405228759</v>
      </c>
      <c r="AH49" s="27"/>
      <c r="AI49" s="7">
        <f t="shared" si="33"/>
        <v>45601</v>
      </c>
      <c r="AJ49" s="15">
        <f t="shared" si="19"/>
        <v>-158</v>
      </c>
      <c r="AK49" s="15">
        <f t="shared" ca="1" si="40"/>
        <v>32</v>
      </c>
      <c r="AL49" s="27"/>
      <c r="AM49" s="11">
        <f t="shared" si="34"/>
        <v>45601</v>
      </c>
      <c r="AN49" s="28">
        <f t="shared" ca="1" si="41"/>
        <v>0</v>
      </c>
      <c r="AO49" s="28" t="e">
        <f t="shared" ca="1" si="42"/>
        <v>#DIV/0!</v>
      </c>
      <c r="AP49">
        <f t="shared" si="35"/>
        <v>0</v>
      </c>
      <c r="AQ49" s="11">
        <f t="shared" ca="1" si="23"/>
        <v>45612.2</v>
      </c>
      <c r="AR49" s="29">
        <f ca="1">AK49/(NETWORKDAYS(B49,$AU$1,Days!$A$11:$A$25)-1)</f>
        <v>-2.2857142857142856</v>
      </c>
      <c r="AS49" s="29">
        <f t="shared" ca="1" si="17"/>
        <v>-1.1428571428571428</v>
      </c>
      <c r="AT49" s="27"/>
      <c r="AV49" s="10">
        <f t="shared" si="36"/>
        <v>0</v>
      </c>
      <c r="AW49" s="10">
        <f t="shared" si="37"/>
        <v>0</v>
      </c>
      <c r="AX49" s="10">
        <f t="shared" si="38"/>
        <v>0</v>
      </c>
      <c r="AY49" s="7">
        <f t="shared" si="39"/>
        <v>45601</v>
      </c>
      <c r="AZ49">
        <f ca="1">IF(B49&gt;TODAY(),"",SUM($V$3:V49)/SUM($AV$3:AV49))</f>
        <v>7.5882352941176467</v>
      </c>
      <c r="BA49">
        <f ca="1">IF(B49&gt;TODAY(),"",SUM($W$3:W49)/SUM($AW$3:AW49))</f>
        <v>12.823529411764707</v>
      </c>
      <c r="BB49" t="e">
        <f ca="1">IF(B49&gt;TODAY(),"",SUM($X$3:X49)/SUM($AX$3:AX49))</f>
        <v>#DIV/0!</v>
      </c>
    </row>
    <row r="50" spans="1:54" x14ac:dyDescent="0.25">
      <c r="A50" s="6" t="str">
        <f>VLOOKUP(WEEKDAY(B50,2),Days!$A$1:$B$7,2,0)</f>
        <v>Wed</v>
      </c>
      <c r="B50" s="7">
        <f t="shared" si="18"/>
        <v>45602</v>
      </c>
      <c r="C50" s="6">
        <f>IF(AND(A50&lt;&gt;"Sat",A50&lt;&gt;"Sun",ISERROR(VLOOKUP(B50,Days!$A$10:$A$38,1,0))),1,(IF(AF50&lt;&gt;0,1,0)))</f>
        <v>1</v>
      </c>
      <c r="D50" s="10"/>
      <c r="E50" s="10"/>
      <c r="F50" s="10"/>
      <c r="G50" s="27"/>
      <c r="H50" s="10">
        <v>1</v>
      </c>
      <c r="I50" s="10">
        <v>1</v>
      </c>
      <c r="J50" s="10">
        <v>0</v>
      </c>
      <c r="K50" s="27"/>
      <c r="L50">
        <f>$C50*H50*Days!$F$1</f>
        <v>8</v>
      </c>
      <c r="M50">
        <f>$C50*I50*Days!$F$1</f>
        <v>8</v>
      </c>
      <c r="N50">
        <f>$C50*J50*Days!$F$1</f>
        <v>0</v>
      </c>
      <c r="O50" s="27"/>
      <c r="P50">
        <f t="shared" ca="1" si="24"/>
        <v>-8</v>
      </c>
      <c r="Q50">
        <f t="shared" ca="1" si="25"/>
        <v>-8</v>
      </c>
      <c r="R50">
        <f t="shared" ca="1" si="26"/>
        <v>0</v>
      </c>
      <c r="S50" s="27"/>
      <c r="T50" s="7">
        <f t="shared" si="27"/>
        <v>45602</v>
      </c>
      <c r="U50" s="6">
        <f t="shared" si="28"/>
        <v>1</v>
      </c>
      <c r="V50">
        <f>COUNTIFS('2024 - L&amp;G R64 - Test Instances'!H:H,B50,'2024 - L&amp;G R64 - Test Instances'!L:L,$V$2,'2024 - L&amp;G R64 - Test Instances'!O:O,"Done")</f>
        <v>0</v>
      </c>
      <c r="W50">
        <f>COUNTIFS('2024 - L&amp;G R64 - Test Instances'!H:H,B50,'2024 - L&amp;G R64 - Test Instances'!L:L,$W$2,'2024 - L&amp;G R64 - Test Instances'!O:O,"Done")</f>
        <v>0</v>
      </c>
      <c r="X50">
        <f>COUNTIFS('2024 - L&amp;G R64 - Test Instances'!H:H,B50,'2024 - L&amp;G R64 - Test Instances'!L:L,$X$2,'2024 - L&amp;G R64 - Test Instances'!O:O,"Done")</f>
        <v>0</v>
      </c>
      <c r="Y50" s="27">
        <v>8</v>
      </c>
      <c r="Z50" s="29">
        <f ca="1">IF(B50&gt;TODAY(),"",SUM($V$3:V50)/SUM($D$3:D50))</f>
        <v>7.5882352941176467</v>
      </c>
      <c r="AA50" s="29">
        <f ca="1">IF(B50&gt;TODAY(),"",SUM($W$3:W50)/SUM($E$3:E50))</f>
        <v>12.111111111111111</v>
      </c>
      <c r="AB50" s="29" t="e">
        <f ca="1">IF(B50&gt;TODAY(),"",SUM($X$3:X50)/SUM($F$3:F50))</f>
        <v>#DIV/0!</v>
      </c>
      <c r="AC50" s="27"/>
      <c r="AD50" s="7">
        <f t="shared" si="29"/>
        <v>45602</v>
      </c>
      <c r="AE50" s="29">
        <f t="shared" si="30"/>
        <v>16</v>
      </c>
      <c r="AF50" s="37">
        <f t="shared" si="31"/>
        <v>0</v>
      </c>
      <c r="AG50" s="29">
        <f t="shared" ca="1" si="32"/>
        <v>19.699346405228759</v>
      </c>
      <c r="AH50" s="27"/>
      <c r="AI50" s="7">
        <f t="shared" si="33"/>
        <v>45602</v>
      </c>
      <c r="AJ50" s="15">
        <f t="shared" si="19"/>
        <v>-174</v>
      </c>
      <c r="AK50" s="15">
        <f t="shared" ca="1" si="40"/>
        <v>32</v>
      </c>
      <c r="AL50" s="27"/>
      <c r="AM50" s="11">
        <f t="shared" si="34"/>
        <v>45602</v>
      </c>
      <c r="AN50" s="28">
        <f t="shared" ca="1" si="41"/>
        <v>0</v>
      </c>
      <c r="AO50" s="28" t="e">
        <f t="shared" ca="1" si="42"/>
        <v>#DIV/0!</v>
      </c>
      <c r="AP50">
        <f t="shared" si="35"/>
        <v>0</v>
      </c>
      <c r="AQ50" s="11">
        <f t="shared" ca="1" si="23"/>
        <v>45612.2</v>
      </c>
      <c r="AR50" s="29">
        <f ca="1">AK50/(NETWORKDAYS(B50,$AU$1,Days!$A$11:$A$25)-1)</f>
        <v>-2.1333333333333333</v>
      </c>
      <c r="AS50" s="29">
        <f t="shared" ca="1" si="17"/>
        <v>-1.0666666666666667</v>
      </c>
      <c r="AT50" s="27"/>
      <c r="AV50" s="10">
        <f t="shared" si="36"/>
        <v>0</v>
      </c>
      <c r="AW50" s="10">
        <f t="shared" si="37"/>
        <v>0</v>
      </c>
      <c r="AX50" s="10">
        <f t="shared" si="38"/>
        <v>0</v>
      </c>
      <c r="AY50" s="7">
        <f t="shared" si="39"/>
        <v>45602</v>
      </c>
      <c r="AZ50">
        <f ca="1">IF(B50&gt;TODAY(),"",SUM($V$3:V50)/SUM($AV$3:AV50))</f>
        <v>7.5882352941176467</v>
      </c>
      <c r="BA50">
        <f ca="1">IF(B50&gt;TODAY(),"",SUM($W$3:W50)/SUM($AW$3:AW50))</f>
        <v>12.823529411764707</v>
      </c>
      <c r="BB50" t="e">
        <f ca="1">IF(B50&gt;TODAY(),"",SUM($X$3:X50)/SUM($AX$3:AX50))</f>
        <v>#DIV/0!</v>
      </c>
    </row>
    <row r="51" spans="1:54" x14ac:dyDescent="0.25">
      <c r="A51" s="6" t="str">
        <f>VLOOKUP(WEEKDAY(B51,2),Days!$A$1:$B$7,2,0)</f>
        <v>Thu</v>
      </c>
      <c r="B51" s="7">
        <f t="shared" si="18"/>
        <v>45603</v>
      </c>
      <c r="C51" s="6">
        <f>IF(AND(A51&lt;&gt;"Sat",A51&lt;&gt;"Sun",ISERROR(VLOOKUP(B51,Days!$A$10:$A$38,1,0))),1,(IF(AF51&lt;&gt;0,1,0)))</f>
        <v>1</v>
      </c>
      <c r="D51" s="10"/>
      <c r="E51" s="10"/>
      <c r="F51" s="10"/>
      <c r="G51" s="27"/>
      <c r="H51" s="10">
        <v>1</v>
      </c>
      <c r="I51" s="10">
        <v>1</v>
      </c>
      <c r="J51" s="10">
        <v>0</v>
      </c>
      <c r="K51" s="27"/>
      <c r="L51">
        <f>$C51*H51*Days!$F$1</f>
        <v>8</v>
      </c>
      <c r="M51">
        <f>$C51*I51*Days!$F$1</f>
        <v>8</v>
      </c>
      <c r="N51">
        <f>$C51*J51*Days!$F$1</f>
        <v>0</v>
      </c>
      <c r="O51" s="27"/>
      <c r="P51">
        <f t="shared" ca="1" si="24"/>
        <v>-8</v>
      </c>
      <c r="Q51">
        <f t="shared" ca="1" si="25"/>
        <v>-8</v>
      </c>
      <c r="R51">
        <f t="shared" ca="1" si="26"/>
        <v>0</v>
      </c>
      <c r="S51" s="27"/>
      <c r="T51" s="7">
        <f t="shared" si="27"/>
        <v>45603</v>
      </c>
      <c r="U51" s="6">
        <f t="shared" si="28"/>
        <v>1</v>
      </c>
      <c r="V51">
        <f>COUNTIFS('2024 - L&amp;G R64 - Test Instances'!H:H,B51,'2024 - L&amp;G R64 - Test Instances'!L:L,$V$2,'2024 - L&amp;G R64 - Test Instances'!O:O,"Done")</f>
        <v>0</v>
      </c>
      <c r="W51">
        <f>COUNTIFS('2024 - L&amp;G R64 - Test Instances'!H:H,B51,'2024 - L&amp;G R64 - Test Instances'!L:L,$W$2,'2024 - L&amp;G R64 - Test Instances'!O:O,"Done")</f>
        <v>0</v>
      </c>
      <c r="X51">
        <f>COUNTIFS('2024 - L&amp;G R64 - Test Instances'!H:H,B51,'2024 - L&amp;G R64 - Test Instances'!L:L,$X$2,'2024 - L&amp;G R64 - Test Instances'!O:O,"Done")</f>
        <v>0</v>
      </c>
      <c r="Y51" s="27">
        <v>8</v>
      </c>
      <c r="Z51" s="29">
        <f ca="1">IF(B51&gt;TODAY(),"",SUM($V$3:V51)/SUM($D$3:D51))</f>
        <v>7.5882352941176467</v>
      </c>
      <c r="AA51" s="29">
        <f ca="1">IF(B51&gt;TODAY(),"",SUM($W$3:W51)/SUM($E$3:E51))</f>
        <v>12.111111111111111</v>
      </c>
      <c r="AB51" s="29" t="e">
        <f ca="1">IF(B51&gt;TODAY(),"",SUM($X$3:X51)/SUM($F$3:F51))</f>
        <v>#DIV/0!</v>
      </c>
      <c r="AC51" s="27"/>
      <c r="AD51" s="7">
        <f t="shared" si="29"/>
        <v>45603</v>
      </c>
      <c r="AE51" s="29">
        <f t="shared" si="30"/>
        <v>16</v>
      </c>
      <c r="AF51" s="37">
        <f t="shared" si="31"/>
        <v>0</v>
      </c>
      <c r="AG51" s="29">
        <f t="shared" ca="1" si="32"/>
        <v>19.699346405228759</v>
      </c>
      <c r="AH51" s="27"/>
      <c r="AI51" s="7">
        <f t="shared" si="33"/>
        <v>45603</v>
      </c>
      <c r="AJ51" s="15">
        <f t="shared" si="19"/>
        <v>-190</v>
      </c>
      <c r="AK51" s="15">
        <f t="shared" ca="1" si="40"/>
        <v>32</v>
      </c>
      <c r="AL51" s="27"/>
      <c r="AM51" s="11">
        <f t="shared" si="34"/>
        <v>45603</v>
      </c>
      <c r="AN51" s="28">
        <f t="shared" ca="1" si="41"/>
        <v>0</v>
      </c>
      <c r="AO51" s="28" t="e">
        <f t="shared" ca="1" si="42"/>
        <v>#DIV/0!</v>
      </c>
      <c r="AP51">
        <f t="shared" si="35"/>
        <v>0</v>
      </c>
      <c r="AQ51" s="11">
        <f t="shared" ca="1" si="23"/>
        <v>45612.2</v>
      </c>
      <c r="AR51" s="29">
        <f ca="1">AK51/(NETWORKDAYS(B51,$AU$1,Days!$A$11:$A$25)-1)</f>
        <v>-2</v>
      </c>
      <c r="AS51" s="29">
        <f t="shared" ca="1" si="17"/>
        <v>-1</v>
      </c>
      <c r="AT51" s="27"/>
      <c r="AV51" s="10">
        <f t="shared" si="36"/>
        <v>0</v>
      </c>
      <c r="AW51" s="10">
        <f t="shared" si="37"/>
        <v>0</v>
      </c>
      <c r="AX51" s="10">
        <f t="shared" si="38"/>
        <v>0</v>
      </c>
      <c r="AY51" s="7">
        <f t="shared" si="39"/>
        <v>45603</v>
      </c>
      <c r="AZ51">
        <f ca="1">IF(B51&gt;TODAY(),"",SUM($V$3:V51)/SUM($AV$3:AV51))</f>
        <v>7.5882352941176467</v>
      </c>
      <c r="BA51">
        <f ca="1">IF(B51&gt;TODAY(),"",SUM($W$3:W51)/SUM($AW$3:AW51))</f>
        <v>12.823529411764707</v>
      </c>
      <c r="BB51" t="e">
        <f ca="1">IF(B51&gt;TODAY(),"",SUM($X$3:X51)/SUM($AX$3:AX51))</f>
        <v>#DIV/0!</v>
      </c>
    </row>
    <row r="52" spans="1:54" x14ac:dyDescent="0.25">
      <c r="A52" s="6" t="str">
        <f>VLOOKUP(WEEKDAY(B52,2),Days!$A$1:$B$7,2,0)</f>
        <v>Fri</v>
      </c>
      <c r="B52" s="7">
        <f t="shared" si="18"/>
        <v>45604</v>
      </c>
      <c r="C52" s="6">
        <f>IF(AND(A52&lt;&gt;"Sat",A52&lt;&gt;"Sun",ISERROR(VLOOKUP(B52,Days!$A$10:$A$38,1,0))),1,(IF(AF52&lt;&gt;0,1,0)))</f>
        <v>1</v>
      </c>
      <c r="D52" s="10"/>
      <c r="E52" s="10"/>
      <c r="F52" s="10"/>
      <c r="G52" s="27"/>
      <c r="H52" s="10">
        <v>1</v>
      </c>
      <c r="I52" s="10">
        <v>1</v>
      </c>
      <c r="J52" s="10">
        <v>0</v>
      </c>
      <c r="K52" s="27"/>
      <c r="L52">
        <f>$C52*H52*Days!$F$1</f>
        <v>8</v>
      </c>
      <c r="M52">
        <f>$C52*I52*Days!$F$1</f>
        <v>8</v>
      </c>
      <c r="N52">
        <f>$C52*J52*Days!$F$1</f>
        <v>0</v>
      </c>
      <c r="O52" s="27"/>
      <c r="P52">
        <f t="shared" ca="1" si="24"/>
        <v>-8</v>
      </c>
      <c r="Q52">
        <f t="shared" ca="1" si="25"/>
        <v>-8</v>
      </c>
      <c r="R52">
        <f t="shared" ca="1" si="26"/>
        <v>0</v>
      </c>
      <c r="S52" s="27"/>
      <c r="T52" s="7">
        <f t="shared" si="27"/>
        <v>45604</v>
      </c>
      <c r="U52" s="6">
        <f t="shared" si="28"/>
        <v>1</v>
      </c>
      <c r="V52">
        <f>COUNTIFS('2024 - L&amp;G R64 - Test Instances'!H:H,B52,'2024 - L&amp;G R64 - Test Instances'!L:L,$V$2,'2024 - L&amp;G R64 - Test Instances'!O:O,"Done")</f>
        <v>0</v>
      </c>
      <c r="W52">
        <f>COUNTIFS('2024 - L&amp;G R64 - Test Instances'!H:H,B52,'2024 - L&amp;G R64 - Test Instances'!L:L,$W$2,'2024 - L&amp;G R64 - Test Instances'!O:O,"Done")</f>
        <v>0</v>
      </c>
      <c r="X52">
        <f>COUNTIFS('2024 - L&amp;G R64 - Test Instances'!H:H,B52,'2024 - L&amp;G R64 - Test Instances'!L:L,$X$2,'2024 - L&amp;G R64 - Test Instances'!O:O,"Done")</f>
        <v>0</v>
      </c>
      <c r="Y52" s="27">
        <v>8</v>
      </c>
      <c r="Z52" s="29">
        <f ca="1">IF(B52&gt;TODAY(),"",SUM($V$3:V52)/SUM($D$3:D52))</f>
        <v>7.5882352941176467</v>
      </c>
      <c r="AA52" s="29">
        <f ca="1">IF(B52&gt;TODAY(),"",SUM($W$3:W52)/SUM($E$3:E52))</f>
        <v>12.111111111111111</v>
      </c>
      <c r="AB52" s="29" t="e">
        <f ca="1">IF(B52&gt;TODAY(),"",SUM($X$3:X52)/SUM($F$3:F52))</f>
        <v>#DIV/0!</v>
      </c>
      <c r="AC52" s="27"/>
      <c r="AD52" s="7">
        <f t="shared" si="29"/>
        <v>45604</v>
      </c>
      <c r="AE52" s="29">
        <f t="shared" si="30"/>
        <v>16</v>
      </c>
      <c r="AF52" s="37">
        <f t="shared" si="31"/>
        <v>0</v>
      </c>
      <c r="AG52" s="29">
        <f t="shared" ca="1" si="32"/>
        <v>19.699346405228759</v>
      </c>
      <c r="AH52" s="27"/>
      <c r="AI52" s="7">
        <f t="shared" si="33"/>
        <v>45604</v>
      </c>
      <c r="AJ52" s="15">
        <f t="shared" si="19"/>
        <v>-206</v>
      </c>
      <c r="AK52" s="15">
        <f t="shared" ca="1" si="40"/>
        <v>32</v>
      </c>
      <c r="AL52" s="27"/>
      <c r="AM52" s="11">
        <f t="shared" si="34"/>
        <v>45604</v>
      </c>
      <c r="AN52" s="28">
        <f t="shared" ca="1" si="41"/>
        <v>0</v>
      </c>
      <c r="AO52" s="28" t="e">
        <f t="shared" ca="1" si="42"/>
        <v>#DIV/0!</v>
      </c>
      <c r="AP52">
        <f t="shared" si="35"/>
        <v>0</v>
      </c>
      <c r="AQ52" s="11">
        <f t="shared" ca="1" si="23"/>
        <v>45612.2</v>
      </c>
      <c r="AR52" s="29">
        <f ca="1">AK52/(NETWORKDAYS(B52,$AU$1,Days!$A$11:$A$25)-1)</f>
        <v>-1.8823529411764706</v>
      </c>
      <c r="AS52" s="29">
        <f t="shared" ca="1" si="17"/>
        <v>-0.94117647058823528</v>
      </c>
      <c r="AT52" s="27"/>
      <c r="AV52" s="10">
        <f t="shared" si="36"/>
        <v>0</v>
      </c>
      <c r="AW52" s="10">
        <f t="shared" si="37"/>
        <v>0</v>
      </c>
      <c r="AX52" s="10">
        <f t="shared" si="38"/>
        <v>0</v>
      </c>
      <c r="AY52" s="7">
        <f t="shared" si="39"/>
        <v>45604</v>
      </c>
      <c r="AZ52">
        <f ca="1">IF(B52&gt;TODAY(),"",SUM($V$3:V52)/SUM($AV$3:AV52))</f>
        <v>7.5882352941176467</v>
      </c>
      <c r="BA52">
        <f ca="1">IF(B52&gt;TODAY(),"",SUM($W$3:W52)/SUM($AW$3:AW52))</f>
        <v>12.823529411764707</v>
      </c>
      <c r="BB52" t="e">
        <f ca="1">IF(B52&gt;TODAY(),"",SUM($X$3:X52)/SUM($AX$3:AX52))</f>
        <v>#DIV/0!</v>
      </c>
    </row>
    <row r="53" spans="1:54" x14ac:dyDescent="0.25">
      <c r="A53" s="6" t="str">
        <f>VLOOKUP(WEEKDAY(B53,2),Days!$A$1:$B$7,2,0)</f>
        <v>Sat</v>
      </c>
      <c r="B53" s="7">
        <f t="shared" si="18"/>
        <v>45605</v>
      </c>
      <c r="C53" s="6">
        <f>IF(AND(A53&lt;&gt;"Sat",A53&lt;&gt;"Sun",ISERROR(VLOOKUP(B53,Days!$A$10:$A$38,1,0))),1,(IF(AF53&lt;&gt;0,1,0)))</f>
        <v>0</v>
      </c>
      <c r="D53" s="10"/>
      <c r="E53" s="10"/>
      <c r="F53" s="10"/>
      <c r="G53" s="27"/>
      <c r="H53" s="10">
        <v>0</v>
      </c>
      <c r="I53" s="10">
        <v>0</v>
      </c>
      <c r="J53" s="10">
        <v>0</v>
      </c>
      <c r="K53" s="27"/>
      <c r="L53">
        <f>$C53*H53*Days!$F$1</f>
        <v>0</v>
      </c>
      <c r="M53">
        <f>$C53*I53*Days!$F$1</f>
        <v>0</v>
      </c>
      <c r="N53">
        <f>$C53*J53*Days!$F$1</f>
        <v>0</v>
      </c>
      <c r="O53" s="27"/>
      <c r="P53">
        <f t="shared" ca="1" si="24"/>
        <v>0</v>
      </c>
      <c r="Q53">
        <f t="shared" ca="1" si="25"/>
        <v>0</v>
      </c>
      <c r="R53">
        <f t="shared" ca="1" si="26"/>
        <v>0</v>
      </c>
      <c r="S53" s="27"/>
      <c r="T53" s="7">
        <f t="shared" si="27"/>
        <v>45605</v>
      </c>
      <c r="U53" s="6">
        <f t="shared" si="28"/>
        <v>0</v>
      </c>
      <c r="V53">
        <f>COUNTIFS('2024 - L&amp;G R64 - Test Instances'!H:H,B53,'2024 - L&amp;G R64 - Test Instances'!L:L,$V$2,'2024 - L&amp;G R64 - Test Instances'!O:O,"Done")</f>
        <v>0</v>
      </c>
      <c r="W53">
        <f>COUNTIFS('2024 - L&amp;G R64 - Test Instances'!H:H,B53,'2024 - L&amp;G R64 - Test Instances'!L:L,$W$2,'2024 - L&amp;G R64 - Test Instances'!O:O,"Done")</f>
        <v>0</v>
      </c>
      <c r="X53">
        <f>COUNTIFS('2024 - L&amp;G R64 - Test Instances'!H:H,B53,'2024 - L&amp;G R64 - Test Instances'!L:L,$X$2,'2024 - L&amp;G R64 - Test Instances'!O:O,"Done")</f>
        <v>0</v>
      </c>
      <c r="Y53" s="27">
        <v>8</v>
      </c>
      <c r="Z53" s="29">
        <f ca="1">IF(B53&gt;TODAY(),"",SUM($V$3:V53)/SUM($D$3:D53))</f>
        <v>7.5882352941176467</v>
      </c>
      <c r="AA53" s="29">
        <f ca="1">IF(B53&gt;TODAY(),"",SUM($W$3:W53)/SUM($E$3:E53))</f>
        <v>12.111111111111111</v>
      </c>
      <c r="AB53" s="29" t="e">
        <f ca="1">IF(B53&gt;TODAY(),"",SUM($X$3:X53)/SUM($F$3:F53))</f>
        <v>#DIV/0!</v>
      </c>
      <c r="AC53" s="27"/>
      <c r="AD53" s="7">
        <f t="shared" si="29"/>
        <v>45605</v>
      </c>
      <c r="AE53" s="29">
        <f t="shared" si="30"/>
        <v>0</v>
      </c>
      <c r="AF53" s="37">
        <f t="shared" si="31"/>
        <v>0</v>
      </c>
      <c r="AG53" s="29">
        <f t="shared" ca="1" si="32"/>
        <v>19.699346405228759</v>
      </c>
      <c r="AH53" s="27"/>
      <c r="AI53" s="7">
        <f t="shared" si="33"/>
        <v>45605</v>
      </c>
      <c r="AJ53" s="15">
        <f t="shared" si="19"/>
        <v>-206</v>
      </c>
      <c r="AK53" s="15">
        <f t="shared" ca="1" si="40"/>
        <v>32</v>
      </c>
      <c r="AL53" s="27"/>
      <c r="AM53" s="11">
        <f t="shared" si="34"/>
        <v>45605</v>
      </c>
      <c r="AN53" s="28">
        <f t="shared" ca="1" si="41"/>
        <v>0</v>
      </c>
      <c r="AO53" s="28" t="e">
        <f t="shared" ca="1" si="42"/>
        <v>#DIV/0!</v>
      </c>
      <c r="AP53">
        <f t="shared" si="35"/>
        <v>0</v>
      </c>
      <c r="AQ53" s="11">
        <f t="shared" ca="1" si="23"/>
        <v>45612.2</v>
      </c>
      <c r="AR53" s="29">
        <f ca="1">AK53/(NETWORKDAYS(B53,$AU$1,Days!$A$11:$A$25)-1)</f>
        <v>-1.8823529411764706</v>
      </c>
      <c r="AS53" s="29">
        <f t="shared" ca="1" si="17"/>
        <v>-0.94117647058823528</v>
      </c>
      <c r="AT53" s="27"/>
      <c r="AV53" s="10">
        <f t="shared" si="36"/>
        <v>0</v>
      </c>
      <c r="AW53" s="10">
        <f t="shared" si="37"/>
        <v>0</v>
      </c>
      <c r="AX53" s="10">
        <f t="shared" si="38"/>
        <v>0</v>
      </c>
      <c r="AY53" s="7">
        <f t="shared" si="39"/>
        <v>45605</v>
      </c>
      <c r="AZ53">
        <f ca="1">IF(B53&gt;TODAY(),"",SUM($V$3:V53)/SUM($AV$3:AV53))</f>
        <v>7.5882352941176467</v>
      </c>
      <c r="BA53">
        <f ca="1">IF(B53&gt;TODAY(),"",SUM($W$3:W53)/SUM($AW$3:AW53))</f>
        <v>12.823529411764707</v>
      </c>
      <c r="BB53" t="e">
        <f ca="1">IF(B53&gt;TODAY(),"",SUM($X$3:X53)/SUM($AX$3:AX53))</f>
        <v>#DIV/0!</v>
      </c>
    </row>
    <row r="54" spans="1:54" x14ac:dyDescent="0.25">
      <c r="A54" s="6" t="str">
        <f>VLOOKUP(WEEKDAY(B54,2),Days!$A$1:$B$7,2,0)</f>
        <v>Sun</v>
      </c>
      <c r="B54" s="7">
        <f t="shared" si="18"/>
        <v>45606</v>
      </c>
      <c r="C54" s="6">
        <f>IF(AND(A54&lt;&gt;"Sat",A54&lt;&gt;"Sun",ISERROR(VLOOKUP(B54,Days!$A$10:$A$38,1,0))),1,(IF(AF54&lt;&gt;0,1,0)))</f>
        <v>0</v>
      </c>
      <c r="D54" s="10"/>
      <c r="E54" s="10"/>
      <c r="F54" s="10"/>
      <c r="G54" s="27"/>
      <c r="H54" s="10">
        <v>0</v>
      </c>
      <c r="I54" s="10">
        <v>0</v>
      </c>
      <c r="J54" s="10">
        <v>0</v>
      </c>
      <c r="K54" s="27"/>
      <c r="L54">
        <f>$C54*H54*Days!$F$1</f>
        <v>0</v>
      </c>
      <c r="M54">
        <f>$C54*I54*Days!$F$1</f>
        <v>0</v>
      </c>
      <c r="N54">
        <f>$C54*J54*Days!$F$1</f>
        <v>0</v>
      </c>
      <c r="O54" s="27"/>
      <c r="P54">
        <f t="shared" ca="1" si="24"/>
        <v>0</v>
      </c>
      <c r="Q54">
        <f t="shared" ca="1" si="25"/>
        <v>0</v>
      </c>
      <c r="R54">
        <f t="shared" ca="1" si="26"/>
        <v>0</v>
      </c>
      <c r="S54" s="27"/>
      <c r="T54" s="7">
        <f t="shared" si="27"/>
        <v>45606</v>
      </c>
      <c r="U54" s="6">
        <f t="shared" si="28"/>
        <v>0</v>
      </c>
      <c r="V54">
        <f>COUNTIFS('2024 - L&amp;G R64 - Test Instances'!H:H,B54,'2024 - L&amp;G R64 - Test Instances'!L:L,$V$2,'2024 - L&amp;G R64 - Test Instances'!O:O,"Done")</f>
        <v>0</v>
      </c>
      <c r="W54">
        <f>COUNTIFS('2024 - L&amp;G R64 - Test Instances'!H:H,B54,'2024 - L&amp;G R64 - Test Instances'!L:L,$W$2,'2024 - L&amp;G R64 - Test Instances'!O:O,"Done")</f>
        <v>0</v>
      </c>
      <c r="X54">
        <f>COUNTIFS('2024 - L&amp;G R64 - Test Instances'!H:H,B54,'2024 - L&amp;G R64 - Test Instances'!L:L,$X$2,'2024 - L&amp;G R64 - Test Instances'!O:O,"Done")</f>
        <v>0</v>
      </c>
      <c r="Y54" s="27">
        <v>8</v>
      </c>
      <c r="Z54" s="29">
        <f ca="1">IF(B54&gt;TODAY(),"",SUM($V$3:V54)/SUM($D$3:D54))</f>
        <v>7.5882352941176467</v>
      </c>
      <c r="AA54" s="29">
        <f ca="1">IF(B54&gt;TODAY(),"",SUM($W$3:W54)/SUM($E$3:E54))</f>
        <v>12.111111111111111</v>
      </c>
      <c r="AB54" s="29" t="e">
        <f ca="1">IF(B54&gt;TODAY(),"",SUM($X$3:X54)/SUM($F$3:F54))</f>
        <v>#DIV/0!</v>
      </c>
      <c r="AC54" s="27"/>
      <c r="AD54" s="7">
        <f t="shared" si="29"/>
        <v>45606</v>
      </c>
      <c r="AE54" s="29">
        <f t="shared" si="30"/>
        <v>0</v>
      </c>
      <c r="AF54" s="37">
        <f t="shared" si="31"/>
        <v>0</v>
      </c>
      <c r="AG54" s="29">
        <f t="shared" ca="1" si="32"/>
        <v>19.699346405228759</v>
      </c>
      <c r="AH54" s="27"/>
      <c r="AI54" s="7">
        <f t="shared" si="33"/>
        <v>45606</v>
      </c>
      <c r="AJ54" s="15">
        <f t="shared" si="19"/>
        <v>-206</v>
      </c>
      <c r="AK54" s="15">
        <f t="shared" ca="1" si="40"/>
        <v>32</v>
      </c>
      <c r="AL54" s="27"/>
      <c r="AM54" s="11">
        <f t="shared" si="34"/>
        <v>45606</v>
      </c>
      <c r="AN54" s="28">
        <f t="shared" ca="1" si="41"/>
        <v>0</v>
      </c>
      <c r="AO54" s="28" t="e">
        <f t="shared" ca="1" si="42"/>
        <v>#DIV/0!</v>
      </c>
      <c r="AP54">
        <f t="shared" si="35"/>
        <v>0</v>
      </c>
      <c r="AQ54" s="11">
        <f t="shared" ca="1" si="23"/>
        <v>45612.2</v>
      </c>
      <c r="AR54" s="29">
        <f ca="1">AK54/(NETWORKDAYS(B54,$AU$1,Days!$A$11:$A$25)-1)</f>
        <v>-1.8823529411764706</v>
      </c>
      <c r="AS54" s="29">
        <f t="shared" ca="1" si="17"/>
        <v>-0.94117647058823528</v>
      </c>
      <c r="AT54" s="27"/>
      <c r="AV54" s="10">
        <f t="shared" si="36"/>
        <v>0</v>
      </c>
      <c r="AW54" s="10">
        <f t="shared" si="37"/>
        <v>0</v>
      </c>
      <c r="AX54" s="10">
        <f t="shared" si="38"/>
        <v>0</v>
      </c>
      <c r="AY54" s="7">
        <f t="shared" si="39"/>
        <v>45606</v>
      </c>
      <c r="AZ54">
        <f ca="1">IF(B54&gt;TODAY(),"",SUM($V$3:V54)/SUM($AV$3:AV54))</f>
        <v>7.5882352941176467</v>
      </c>
      <c r="BA54">
        <f ca="1">IF(B54&gt;TODAY(),"",SUM($W$3:W54)/SUM($AW$3:AW54))</f>
        <v>12.823529411764707</v>
      </c>
      <c r="BB54" t="e">
        <f ca="1">IF(B54&gt;TODAY(),"",SUM($X$3:X54)/SUM($AX$3:AX54))</f>
        <v>#DIV/0!</v>
      </c>
    </row>
    <row r="55" spans="1:54" x14ac:dyDescent="0.25">
      <c r="A55" s="6" t="str">
        <f>VLOOKUP(WEEKDAY(B55,2),Days!$A$1:$B$7,2,0)</f>
        <v>Mon</v>
      </c>
      <c r="B55" s="7">
        <f t="shared" si="18"/>
        <v>45607</v>
      </c>
      <c r="C55" s="6">
        <f>IF(AND(A55&lt;&gt;"Sat",A55&lt;&gt;"Sun",ISERROR(VLOOKUP(B55,Days!$A$10:$A$38,1,0))),1,(IF(AF55&lt;&gt;0,1,0)))</f>
        <v>1</v>
      </c>
      <c r="D55" s="10"/>
      <c r="E55" s="10"/>
      <c r="F55" s="10"/>
      <c r="G55" s="27"/>
      <c r="H55" s="10">
        <v>1</v>
      </c>
      <c r="I55" s="10">
        <v>1</v>
      </c>
      <c r="J55" s="10">
        <v>0</v>
      </c>
      <c r="K55" s="27"/>
      <c r="L55">
        <f>$C55*H55*Days!$F$1</f>
        <v>8</v>
      </c>
      <c r="M55">
        <f>$C55*I55*Days!$F$1</f>
        <v>8</v>
      </c>
      <c r="N55">
        <f>$C55*J55*Days!$F$1</f>
        <v>0</v>
      </c>
      <c r="O55" s="27"/>
      <c r="P55">
        <f t="shared" ca="1" si="24"/>
        <v>-8</v>
      </c>
      <c r="Q55">
        <f t="shared" ca="1" si="25"/>
        <v>-8</v>
      </c>
      <c r="R55">
        <f t="shared" ca="1" si="26"/>
        <v>0</v>
      </c>
      <c r="S55" s="27"/>
      <c r="T55" s="7">
        <f t="shared" si="27"/>
        <v>45607</v>
      </c>
      <c r="U55" s="6">
        <f t="shared" si="28"/>
        <v>1</v>
      </c>
      <c r="V55">
        <f>COUNTIFS('2024 - L&amp;G R64 - Test Instances'!H:H,B55,'2024 - L&amp;G R64 - Test Instances'!L:L,$V$2,'2024 - L&amp;G R64 - Test Instances'!O:O,"Done")</f>
        <v>0</v>
      </c>
      <c r="W55">
        <f>COUNTIFS('2024 - L&amp;G R64 - Test Instances'!H:H,B55,'2024 - L&amp;G R64 - Test Instances'!L:L,$W$2,'2024 - L&amp;G R64 - Test Instances'!O:O,"Done")</f>
        <v>0</v>
      </c>
      <c r="X55">
        <f>COUNTIFS('2024 - L&amp;G R64 - Test Instances'!H:H,B55,'2024 - L&amp;G R64 - Test Instances'!L:L,$X$2,'2024 - L&amp;G R64 - Test Instances'!O:O,"Done")</f>
        <v>0</v>
      </c>
      <c r="Y55" s="27">
        <v>8</v>
      </c>
      <c r="Z55" s="29">
        <f ca="1">IF(B55&gt;TODAY(),"",SUM($V$3:V55)/SUM($D$3:D55))</f>
        <v>7.5882352941176467</v>
      </c>
      <c r="AA55" s="29">
        <f ca="1">IF(B55&gt;TODAY(),"",SUM($W$3:W55)/SUM($E$3:E55))</f>
        <v>12.111111111111111</v>
      </c>
      <c r="AB55" s="29" t="e">
        <f ca="1">IF(B55&gt;TODAY(),"",SUM($X$3:X55)/SUM($F$3:F55))</f>
        <v>#DIV/0!</v>
      </c>
      <c r="AC55" s="27"/>
      <c r="AD55" s="7">
        <f t="shared" si="29"/>
        <v>45607</v>
      </c>
      <c r="AE55" s="29">
        <f t="shared" si="30"/>
        <v>16</v>
      </c>
      <c r="AF55" s="37">
        <f t="shared" si="31"/>
        <v>0</v>
      </c>
      <c r="AG55" s="29">
        <f t="shared" ca="1" si="32"/>
        <v>19.699346405228759</v>
      </c>
      <c r="AH55" s="27"/>
      <c r="AI55" s="7">
        <f t="shared" si="33"/>
        <v>45607</v>
      </c>
      <c r="AJ55" s="15">
        <f t="shared" si="19"/>
        <v>-222</v>
      </c>
      <c r="AK55" s="15">
        <f t="shared" ca="1" si="40"/>
        <v>32</v>
      </c>
      <c r="AL55" s="27"/>
      <c r="AM55" s="11">
        <f t="shared" si="34"/>
        <v>45607</v>
      </c>
      <c r="AN55" s="28">
        <f t="shared" ca="1" si="41"/>
        <v>0</v>
      </c>
      <c r="AO55" s="28" t="e">
        <f t="shared" ca="1" si="42"/>
        <v>#DIV/0!</v>
      </c>
      <c r="AP55">
        <f t="shared" si="35"/>
        <v>0</v>
      </c>
      <c r="AQ55" s="11">
        <f t="shared" ca="1" si="23"/>
        <v>45612.2</v>
      </c>
      <c r="AR55" s="29">
        <f ca="1">AK55/(NETWORKDAYS(B55,$AU$1,Days!$A$11:$A$25)-1)</f>
        <v>-1.7777777777777777</v>
      </c>
      <c r="AS55" s="29">
        <f t="shared" ca="1" si="17"/>
        <v>-0.88888888888888884</v>
      </c>
      <c r="AT55" s="27"/>
      <c r="AV55" s="10">
        <f t="shared" si="36"/>
        <v>0</v>
      </c>
      <c r="AW55" s="10">
        <f t="shared" si="37"/>
        <v>0</v>
      </c>
      <c r="AX55" s="10">
        <f t="shared" si="38"/>
        <v>0</v>
      </c>
      <c r="AY55" s="7">
        <f t="shared" si="39"/>
        <v>45607</v>
      </c>
      <c r="AZ55">
        <f ca="1">IF(B55&gt;TODAY(),"",SUM($V$3:V55)/SUM($AV$3:AV55))</f>
        <v>7.5882352941176467</v>
      </c>
      <c r="BA55">
        <f ca="1">IF(B55&gt;TODAY(),"",SUM($W$3:W55)/SUM($AW$3:AW55))</f>
        <v>12.823529411764707</v>
      </c>
      <c r="BB55" t="e">
        <f ca="1">IF(B55&gt;TODAY(),"",SUM($X$3:X55)/SUM($AX$3:AX55))</f>
        <v>#DIV/0!</v>
      </c>
    </row>
    <row r="56" spans="1:54" x14ac:dyDescent="0.25">
      <c r="A56" s="6" t="str">
        <f>VLOOKUP(WEEKDAY(B56,2),Days!$A$1:$B$7,2,0)</f>
        <v>Tue</v>
      </c>
      <c r="B56" s="7">
        <f t="shared" si="18"/>
        <v>45608</v>
      </c>
      <c r="C56" s="6">
        <f>IF(AND(A56&lt;&gt;"Sat",A56&lt;&gt;"Sun",ISERROR(VLOOKUP(B56,Days!$A$10:$A$38,1,0))),1,(IF(AF56&lt;&gt;0,1,0)))</f>
        <v>1</v>
      </c>
      <c r="D56" s="10"/>
      <c r="E56" s="10"/>
      <c r="F56" s="10"/>
      <c r="G56" s="27"/>
      <c r="H56" s="10">
        <v>1</v>
      </c>
      <c r="I56" s="10">
        <v>1</v>
      </c>
      <c r="J56" s="10">
        <v>0</v>
      </c>
      <c r="K56" s="27"/>
      <c r="L56">
        <f>$C56*H56*Days!$F$1</f>
        <v>8</v>
      </c>
      <c r="M56">
        <f>$C56*I56*Days!$F$1</f>
        <v>8</v>
      </c>
      <c r="N56">
        <f>$C56*J56*Days!$F$1</f>
        <v>0</v>
      </c>
      <c r="O56" s="27"/>
      <c r="P56">
        <f t="shared" ca="1" si="24"/>
        <v>-8</v>
      </c>
      <c r="Q56">
        <f t="shared" ca="1" si="25"/>
        <v>-8</v>
      </c>
      <c r="R56">
        <f t="shared" ca="1" si="26"/>
        <v>0</v>
      </c>
      <c r="S56" s="27"/>
      <c r="T56" s="7">
        <f t="shared" si="27"/>
        <v>45608</v>
      </c>
      <c r="U56" s="6">
        <f t="shared" si="28"/>
        <v>1</v>
      </c>
      <c r="V56">
        <f>COUNTIFS('2024 - L&amp;G R64 - Test Instances'!H:H,B56,'2024 - L&amp;G R64 - Test Instances'!L:L,$V$2,'2024 - L&amp;G R64 - Test Instances'!O:O,"Done")</f>
        <v>0</v>
      </c>
      <c r="W56">
        <f>COUNTIFS('2024 - L&amp;G R64 - Test Instances'!H:H,B56,'2024 - L&amp;G R64 - Test Instances'!L:L,$W$2,'2024 - L&amp;G R64 - Test Instances'!O:O,"Done")</f>
        <v>0</v>
      </c>
      <c r="X56">
        <f>COUNTIFS('2024 - L&amp;G R64 - Test Instances'!H:H,B56,'2024 - L&amp;G R64 - Test Instances'!L:L,$X$2,'2024 - L&amp;G R64 - Test Instances'!O:O,"Done")</f>
        <v>0</v>
      </c>
      <c r="Y56" s="27">
        <v>8</v>
      </c>
      <c r="Z56" s="29">
        <f ca="1">IF(B56&gt;TODAY(),"",SUM($V$3:V56)/SUM($D$3:D56))</f>
        <v>7.5882352941176467</v>
      </c>
      <c r="AA56" s="29">
        <f ca="1">IF(B56&gt;TODAY(),"",SUM($W$3:W56)/SUM($E$3:E56))</f>
        <v>12.111111111111111</v>
      </c>
      <c r="AB56" s="29" t="e">
        <f ca="1">IF(B56&gt;TODAY(),"",SUM($X$3:X56)/SUM($F$3:F56))</f>
        <v>#DIV/0!</v>
      </c>
      <c r="AC56" s="27"/>
      <c r="AD56" s="7">
        <f t="shared" si="29"/>
        <v>45608</v>
      </c>
      <c r="AE56" s="29">
        <f t="shared" si="30"/>
        <v>16</v>
      </c>
      <c r="AF56" s="37">
        <f t="shared" si="31"/>
        <v>0</v>
      </c>
      <c r="AG56" s="29">
        <f t="shared" ca="1" si="32"/>
        <v>19.699346405228759</v>
      </c>
      <c r="AH56" s="27"/>
      <c r="AI56" s="7">
        <f t="shared" si="33"/>
        <v>45608</v>
      </c>
      <c r="AJ56" s="15">
        <f t="shared" si="19"/>
        <v>-238</v>
      </c>
      <c r="AK56" s="15">
        <f t="shared" ca="1" si="40"/>
        <v>32</v>
      </c>
      <c r="AL56" s="27"/>
      <c r="AM56" s="11">
        <f t="shared" si="34"/>
        <v>45608</v>
      </c>
      <c r="AN56" s="28">
        <f t="shared" ca="1" si="41"/>
        <v>0</v>
      </c>
      <c r="AO56" s="28" t="e">
        <f t="shared" ca="1" si="42"/>
        <v>#DIV/0!</v>
      </c>
      <c r="AP56">
        <f t="shared" si="35"/>
        <v>0</v>
      </c>
      <c r="AQ56" s="11">
        <f t="shared" ca="1" si="23"/>
        <v>45612.2</v>
      </c>
      <c r="AR56" s="29">
        <f ca="1">AK56/(NETWORKDAYS(B56,$AU$1,Days!$A$11:$A$25)-1)</f>
        <v>-1.6842105263157894</v>
      </c>
      <c r="AS56" s="29">
        <f t="shared" ca="1" si="17"/>
        <v>-0.84210526315789469</v>
      </c>
      <c r="AT56" s="27"/>
      <c r="AV56" s="10">
        <f t="shared" si="36"/>
        <v>0</v>
      </c>
      <c r="AW56" s="10">
        <f t="shared" si="37"/>
        <v>0</v>
      </c>
      <c r="AX56" s="10">
        <f t="shared" si="38"/>
        <v>0</v>
      </c>
      <c r="AY56" s="7">
        <f t="shared" si="39"/>
        <v>45608</v>
      </c>
      <c r="AZ56">
        <f ca="1">IF(B56&gt;TODAY(),"",SUM($V$3:V56)/SUM($AV$3:AV56))</f>
        <v>7.5882352941176467</v>
      </c>
      <c r="BA56">
        <f ca="1">IF(B56&gt;TODAY(),"",SUM($W$3:W56)/SUM($AW$3:AW56))</f>
        <v>12.823529411764707</v>
      </c>
      <c r="BB56" t="e">
        <f ca="1">IF(B56&gt;TODAY(),"",SUM($X$3:X56)/SUM($AX$3:AX56))</f>
        <v>#DIV/0!</v>
      </c>
    </row>
    <row r="57" spans="1:54" x14ac:dyDescent="0.25">
      <c r="A57" s="6" t="str">
        <f>VLOOKUP(WEEKDAY(B57,2),Days!$A$1:$B$7,2,0)</f>
        <v>Wed</v>
      </c>
      <c r="B57" s="7">
        <f t="shared" si="18"/>
        <v>45609</v>
      </c>
      <c r="C57" s="6">
        <f>IF(AND(A57&lt;&gt;"Sat",A57&lt;&gt;"Sun",ISERROR(VLOOKUP(B57,Days!$A$10:$A$38,1,0))),1,(IF(AF57&lt;&gt;0,1,0)))</f>
        <v>1</v>
      </c>
      <c r="D57" s="10"/>
      <c r="E57" s="10"/>
      <c r="F57" s="10"/>
      <c r="G57" s="27"/>
      <c r="H57" s="10">
        <v>1</v>
      </c>
      <c r="I57" s="10">
        <v>1</v>
      </c>
      <c r="J57" s="10">
        <v>0</v>
      </c>
      <c r="K57" s="27"/>
      <c r="L57">
        <f>$C57*H57*Days!$F$1</f>
        <v>8</v>
      </c>
      <c r="M57">
        <f>$C57*I57*Days!$F$1</f>
        <v>8</v>
      </c>
      <c r="N57">
        <f>$C57*J57*Days!$F$1</f>
        <v>0</v>
      </c>
      <c r="O57" s="27"/>
      <c r="P57">
        <f t="shared" ca="1" si="24"/>
        <v>-8</v>
      </c>
      <c r="Q57">
        <f t="shared" ca="1" si="25"/>
        <v>-8</v>
      </c>
      <c r="R57">
        <f t="shared" ca="1" si="26"/>
        <v>0</v>
      </c>
      <c r="S57" s="27"/>
      <c r="T57" s="7">
        <f t="shared" si="27"/>
        <v>45609</v>
      </c>
      <c r="U57" s="6">
        <f t="shared" si="28"/>
        <v>1</v>
      </c>
      <c r="V57">
        <f>COUNTIFS('2024 - L&amp;G R64 - Test Instances'!H:H,B57,'2024 - L&amp;G R64 - Test Instances'!L:L,$V$2,'2024 - L&amp;G R64 - Test Instances'!O:O,"Done")</f>
        <v>0</v>
      </c>
      <c r="W57">
        <f>COUNTIFS('2024 - L&amp;G R64 - Test Instances'!H:H,B57,'2024 - L&amp;G R64 - Test Instances'!L:L,$W$2,'2024 - L&amp;G R64 - Test Instances'!O:O,"Done")</f>
        <v>0</v>
      </c>
      <c r="X57">
        <f>COUNTIFS('2024 - L&amp;G R64 - Test Instances'!H:H,B57,'2024 - L&amp;G R64 - Test Instances'!L:L,$X$2,'2024 - L&amp;G R64 - Test Instances'!O:O,"Done")</f>
        <v>0</v>
      </c>
      <c r="Y57" s="27">
        <v>8</v>
      </c>
      <c r="Z57" s="29">
        <f ca="1">IF(B57&gt;TODAY(),"",SUM($V$3:V57)/SUM($D$3:D57))</f>
        <v>7.5882352941176467</v>
      </c>
      <c r="AA57" s="29">
        <f ca="1">IF(B57&gt;TODAY(),"",SUM($W$3:W57)/SUM($E$3:E57))</f>
        <v>12.111111111111111</v>
      </c>
      <c r="AB57" s="29" t="e">
        <f ca="1">IF(B57&gt;TODAY(),"",SUM($X$3:X57)/SUM($F$3:F57))</f>
        <v>#DIV/0!</v>
      </c>
      <c r="AC57" s="27"/>
      <c r="AD57" s="7">
        <f t="shared" si="29"/>
        <v>45609</v>
      </c>
      <c r="AE57" s="29">
        <f t="shared" si="30"/>
        <v>16</v>
      </c>
      <c r="AF57" s="37">
        <f t="shared" si="31"/>
        <v>0</v>
      </c>
      <c r="AG57" s="29">
        <f t="shared" ca="1" si="32"/>
        <v>19.699346405228759</v>
      </c>
      <c r="AH57" s="27"/>
      <c r="AI57" s="7">
        <f t="shared" si="33"/>
        <v>45609</v>
      </c>
      <c r="AJ57" s="15">
        <f t="shared" si="19"/>
        <v>-254</v>
      </c>
      <c r="AK57" s="15">
        <f t="shared" ca="1" si="40"/>
        <v>32</v>
      </c>
      <c r="AL57" s="27"/>
      <c r="AM57" s="11">
        <f t="shared" si="34"/>
        <v>45609</v>
      </c>
      <c r="AN57" s="28">
        <f t="shared" ca="1" si="41"/>
        <v>0</v>
      </c>
      <c r="AO57" s="28" t="e">
        <f t="shared" ca="1" si="42"/>
        <v>#DIV/0!</v>
      </c>
      <c r="AP57">
        <f t="shared" si="35"/>
        <v>0</v>
      </c>
      <c r="AQ57" s="11">
        <f t="shared" ca="1" si="23"/>
        <v>45612.2</v>
      </c>
      <c r="AR57" s="29">
        <f ca="1">AK57/(NETWORKDAYS(B57,$AU$1,Days!$A$11:$A$25)-1)</f>
        <v>-1.6</v>
      </c>
      <c r="AS57" s="29">
        <f t="shared" ca="1" si="17"/>
        <v>-0.8</v>
      </c>
      <c r="AT57" s="27"/>
      <c r="AV57" s="10">
        <f t="shared" si="36"/>
        <v>0</v>
      </c>
      <c r="AW57" s="10">
        <f t="shared" si="37"/>
        <v>0</v>
      </c>
      <c r="AX57" s="10">
        <f t="shared" si="38"/>
        <v>0</v>
      </c>
      <c r="AY57" s="7">
        <f t="shared" si="39"/>
        <v>45609</v>
      </c>
      <c r="AZ57">
        <f ca="1">IF(B57&gt;TODAY(),"",SUM($V$3:V57)/SUM($AV$3:AV57))</f>
        <v>7.5882352941176467</v>
      </c>
      <c r="BA57">
        <f ca="1">IF(B57&gt;TODAY(),"",SUM($W$3:W57)/SUM($AW$3:AW57))</f>
        <v>12.823529411764707</v>
      </c>
      <c r="BB57" t="e">
        <f ca="1">IF(B57&gt;TODAY(),"",SUM($X$3:X57)/SUM($AX$3:AX57))</f>
        <v>#DIV/0!</v>
      </c>
    </row>
    <row r="58" spans="1:54" x14ac:dyDescent="0.25">
      <c r="A58" s="6" t="str">
        <f>VLOOKUP(WEEKDAY(B58,2),Days!$A$1:$B$7,2,0)</f>
        <v>Thu</v>
      </c>
      <c r="B58" s="7">
        <f t="shared" si="18"/>
        <v>45610</v>
      </c>
      <c r="C58" s="6">
        <f>IF(AND(A58&lt;&gt;"Sat",A58&lt;&gt;"Sun",ISERROR(VLOOKUP(B58,Days!$A$10:$A$38,1,0))),1,(IF(AF58&lt;&gt;0,1,0)))</f>
        <v>1</v>
      </c>
      <c r="D58" s="10"/>
      <c r="E58" s="10"/>
      <c r="F58" s="10"/>
      <c r="G58" s="27"/>
      <c r="H58" s="10">
        <v>1</v>
      </c>
      <c r="I58" s="10">
        <v>1</v>
      </c>
      <c r="J58" s="10">
        <v>0</v>
      </c>
      <c r="K58" s="27"/>
      <c r="L58">
        <f>$C58*H58*Days!$F$1</f>
        <v>8</v>
      </c>
      <c r="M58">
        <f>$C58*I58*Days!$F$1</f>
        <v>8</v>
      </c>
      <c r="N58">
        <f>$C58*J58*Days!$F$1</f>
        <v>0</v>
      </c>
      <c r="O58" s="27"/>
      <c r="P58">
        <f t="shared" ca="1" si="24"/>
        <v>-8</v>
      </c>
      <c r="Q58">
        <f t="shared" ca="1" si="25"/>
        <v>-8</v>
      </c>
      <c r="R58">
        <f t="shared" ca="1" si="26"/>
        <v>0</v>
      </c>
      <c r="S58" s="27"/>
      <c r="T58" s="7">
        <f t="shared" si="27"/>
        <v>45610</v>
      </c>
      <c r="U58" s="6">
        <f t="shared" si="28"/>
        <v>1</v>
      </c>
      <c r="V58">
        <f>COUNTIFS('2024 - L&amp;G R64 - Test Instances'!H:H,B58,'2024 - L&amp;G R64 - Test Instances'!L:L,$V$2,'2024 - L&amp;G R64 - Test Instances'!O:O,"Done")</f>
        <v>0</v>
      </c>
      <c r="W58">
        <f>COUNTIFS('2024 - L&amp;G R64 - Test Instances'!H:H,B58,'2024 - L&amp;G R64 - Test Instances'!L:L,$W$2,'2024 - L&amp;G R64 - Test Instances'!O:O,"Done")</f>
        <v>0</v>
      </c>
      <c r="X58">
        <f>COUNTIFS('2024 - L&amp;G R64 - Test Instances'!H:H,B58,'2024 - L&amp;G R64 - Test Instances'!L:L,$X$2,'2024 - L&amp;G R64 - Test Instances'!O:O,"Done")</f>
        <v>0</v>
      </c>
      <c r="Y58" s="27">
        <v>8</v>
      </c>
      <c r="Z58" s="29">
        <f ca="1">IF(B58&gt;TODAY(),"",SUM($V$3:V58)/SUM($D$3:D58))</f>
        <v>7.5882352941176467</v>
      </c>
      <c r="AA58" s="29">
        <f ca="1">IF(B58&gt;TODAY(),"",SUM($W$3:W58)/SUM($E$3:E58))</f>
        <v>12.111111111111111</v>
      </c>
      <c r="AB58" s="29" t="e">
        <f ca="1">IF(B58&gt;TODAY(),"",SUM($X$3:X58)/SUM($F$3:F58))</f>
        <v>#DIV/0!</v>
      </c>
      <c r="AC58" s="27"/>
      <c r="AD58" s="7">
        <f t="shared" si="29"/>
        <v>45610</v>
      </c>
      <c r="AE58" s="29">
        <f t="shared" si="30"/>
        <v>16</v>
      </c>
      <c r="AF58" s="37">
        <f t="shared" si="31"/>
        <v>0</v>
      </c>
      <c r="AG58" s="29">
        <f t="shared" ca="1" si="32"/>
        <v>19.699346405228759</v>
      </c>
      <c r="AH58" s="27"/>
      <c r="AI58" s="7">
        <f t="shared" si="33"/>
        <v>45610</v>
      </c>
      <c r="AJ58" s="15">
        <f t="shared" si="19"/>
        <v>-270</v>
      </c>
      <c r="AK58" s="15">
        <f t="shared" ca="1" si="40"/>
        <v>32</v>
      </c>
      <c r="AL58" s="27"/>
      <c r="AM58" s="11">
        <f t="shared" si="34"/>
        <v>45610</v>
      </c>
      <c r="AN58" s="28">
        <f t="shared" ca="1" si="41"/>
        <v>0</v>
      </c>
      <c r="AO58" s="28" t="e">
        <f t="shared" ca="1" si="42"/>
        <v>#DIV/0!</v>
      </c>
      <c r="AP58">
        <f t="shared" si="35"/>
        <v>0</v>
      </c>
      <c r="AQ58" s="11">
        <f t="shared" ca="1" si="23"/>
        <v>45612.2</v>
      </c>
      <c r="AR58" s="29">
        <f ca="1">AK58/(NETWORKDAYS(B58,$AU$1,Days!$A$11:$A$25)-1)</f>
        <v>-1.5238095238095237</v>
      </c>
      <c r="AS58" s="29">
        <f t="shared" ca="1" si="17"/>
        <v>-0.76190476190476186</v>
      </c>
      <c r="AT58" s="27"/>
      <c r="AV58" s="10">
        <f t="shared" si="36"/>
        <v>0</v>
      </c>
      <c r="AW58" s="10">
        <f t="shared" si="37"/>
        <v>0</v>
      </c>
      <c r="AX58" s="10">
        <f t="shared" si="38"/>
        <v>0</v>
      </c>
      <c r="AY58" s="7">
        <f t="shared" si="39"/>
        <v>45610</v>
      </c>
      <c r="AZ58">
        <f ca="1">IF(B58&gt;TODAY(),"",SUM($V$3:V58)/SUM($AV$3:AV58))</f>
        <v>7.5882352941176467</v>
      </c>
      <c r="BA58">
        <f ca="1">IF(B58&gt;TODAY(),"",SUM($W$3:W58)/SUM($AW$3:AW58))</f>
        <v>12.823529411764707</v>
      </c>
      <c r="BB58" t="e">
        <f ca="1">IF(B58&gt;TODAY(),"",SUM($X$3:X58)/SUM($AX$3:AX58))</f>
        <v>#DIV/0!</v>
      </c>
    </row>
    <row r="59" spans="1:54" x14ac:dyDescent="0.25">
      <c r="A59" s="6" t="str">
        <f>VLOOKUP(WEEKDAY(B59,2),Days!$A$1:$B$7,2,0)</f>
        <v>Fri</v>
      </c>
      <c r="B59" s="7">
        <f t="shared" si="18"/>
        <v>45611</v>
      </c>
      <c r="C59" s="6">
        <f>IF(AND(A59&lt;&gt;"Sat",A59&lt;&gt;"Sun",ISERROR(VLOOKUP(B59,Days!$A$10:$A$38,1,0))),1,(IF(AF59&lt;&gt;0,1,0)))</f>
        <v>1</v>
      </c>
      <c r="D59" s="10"/>
      <c r="E59" s="10"/>
      <c r="F59" s="10"/>
      <c r="G59" s="27"/>
      <c r="H59" s="10">
        <v>1</v>
      </c>
      <c r="I59" s="10">
        <v>1</v>
      </c>
      <c r="J59" s="10">
        <v>0</v>
      </c>
      <c r="K59" s="27"/>
      <c r="L59">
        <f>$C59*H59*Days!$F$1</f>
        <v>8</v>
      </c>
      <c r="M59">
        <f>$C59*I59*Days!$F$1</f>
        <v>8</v>
      </c>
      <c r="N59">
        <f>$C59*J59*Days!$F$1</f>
        <v>0</v>
      </c>
      <c r="O59" s="27"/>
      <c r="P59">
        <f t="shared" ca="1" si="24"/>
        <v>-8</v>
      </c>
      <c r="Q59">
        <f t="shared" ca="1" si="25"/>
        <v>-8</v>
      </c>
      <c r="R59">
        <f t="shared" ca="1" si="26"/>
        <v>0</v>
      </c>
      <c r="S59" s="27"/>
      <c r="T59" s="7">
        <f t="shared" si="27"/>
        <v>45611</v>
      </c>
      <c r="U59" s="6">
        <f t="shared" si="28"/>
        <v>1</v>
      </c>
      <c r="V59">
        <f>COUNTIFS('2024 - L&amp;G R64 - Test Instances'!H:H,B59,'2024 - L&amp;G R64 - Test Instances'!L:L,$V$2,'2024 - L&amp;G R64 - Test Instances'!O:O,"Done")</f>
        <v>0</v>
      </c>
      <c r="W59">
        <f>COUNTIFS('2024 - L&amp;G R64 - Test Instances'!H:H,B59,'2024 - L&amp;G R64 - Test Instances'!L:L,$W$2,'2024 - L&amp;G R64 - Test Instances'!O:O,"Done")</f>
        <v>0</v>
      </c>
      <c r="X59">
        <f>COUNTIFS('2024 - L&amp;G R64 - Test Instances'!H:H,B59,'2024 - L&amp;G R64 - Test Instances'!L:L,$X$2,'2024 - L&amp;G R64 - Test Instances'!O:O,"Done")</f>
        <v>0</v>
      </c>
      <c r="Y59" s="27">
        <v>8</v>
      </c>
      <c r="Z59" s="29">
        <f ca="1">IF(B59&gt;TODAY(),"",SUM($V$3:V59)/SUM($D$3:D59))</f>
        <v>7.5882352941176467</v>
      </c>
      <c r="AA59" s="29">
        <f ca="1">IF(B59&gt;TODAY(),"",SUM($W$3:W59)/SUM($E$3:E59))</f>
        <v>12.111111111111111</v>
      </c>
      <c r="AB59" s="29" t="e">
        <f ca="1">IF(B59&gt;TODAY(),"",SUM($X$3:X59)/SUM($F$3:F59))</f>
        <v>#DIV/0!</v>
      </c>
      <c r="AC59" s="27"/>
      <c r="AD59" s="7">
        <f t="shared" si="29"/>
        <v>45611</v>
      </c>
      <c r="AE59" s="29">
        <f t="shared" si="30"/>
        <v>16</v>
      </c>
      <c r="AF59" s="37">
        <f t="shared" si="31"/>
        <v>0</v>
      </c>
      <c r="AG59" s="29">
        <f t="shared" ca="1" si="32"/>
        <v>19.699346405228759</v>
      </c>
      <c r="AH59" s="27"/>
      <c r="AI59" s="7">
        <f t="shared" si="33"/>
        <v>45611</v>
      </c>
      <c r="AJ59" s="15">
        <f t="shared" si="19"/>
        <v>-286</v>
      </c>
      <c r="AK59" s="15">
        <f t="shared" ca="1" si="40"/>
        <v>32</v>
      </c>
      <c r="AL59" s="27"/>
      <c r="AM59" s="11">
        <f t="shared" si="34"/>
        <v>45611</v>
      </c>
      <c r="AN59" s="28">
        <f t="shared" ca="1" si="41"/>
        <v>0</v>
      </c>
      <c r="AO59" s="28" t="e">
        <f t="shared" ca="1" si="42"/>
        <v>#DIV/0!</v>
      </c>
      <c r="AP59">
        <f t="shared" si="35"/>
        <v>0</v>
      </c>
      <c r="AQ59" s="11">
        <f t="shared" ca="1" si="23"/>
        <v>45612.2</v>
      </c>
      <c r="AR59" s="29">
        <f ca="1">AK59/(NETWORKDAYS(B59,$AU$1,Days!$A$11:$A$25)-1)</f>
        <v>-1.4545454545454546</v>
      </c>
      <c r="AS59" s="29">
        <f t="shared" ca="1" si="17"/>
        <v>-0.72727272727272729</v>
      </c>
      <c r="AT59" s="27"/>
      <c r="AV59" s="10">
        <f t="shared" si="36"/>
        <v>0</v>
      </c>
      <c r="AW59" s="10">
        <f t="shared" si="37"/>
        <v>0</v>
      </c>
      <c r="AX59" s="10">
        <f t="shared" si="38"/>
        <v>0</v>
      </c>
      <c r="AY59" s="7">
        <f t="shared" si="39"/>
        <v>45611</v>
      </c>
      <c r="AZ59">
        <f ca="1">IF(B59&gt;TODAY(),"",SUM($V$3:V59)/SUM($AV$3:AV59))</f>
        <v>7.5882352941176467</v>
      </c>
      <c r="BA59">
        <f ca="1">IF(B59&gt;TODAY(),"",SUM($W$3:W59)/SUM($AW$3:AW59))</f>
        <v>12.823529411764707</v>
      </c>
      <c r="BB59" t="e">
        <f ca="1">IF(B59&gt;TODAY(),"",SUM($X$3:X59)/SUM($AX$3:AX59))</f>
        <v>#DIV/0!</v>
      </c>
    </row>
    <row r="60" spans="1:54" x14ac:dyDescent="0.25">
      <c r="A60" s="6" t="str">
        <f>VLOOKUP(WEEKDAY(B60,2),Days!$A$1:$B$7,2,0)</f>
        <v>Sat</v>
      </c>
      <c r="B60" s="7">
        <f t="shared" si="18"/>
        <v>45612</v>
      </c>
      <c r="C60" s="6">
        <f>IF(AND(A60&lt;&gt;"Sat",A60&lt;&gt;"Sun",ISERROR(VLOOKUP(B60,Days!$A$10:$A$38,1,0))),1,(IF(AF60&lt;&gt;0,1,0)))</f>
        <v>0</v>
      </c>
      <c r="D60" s="10"/>
      <c r="E60" s="10"/>
      <c r="F60" s="10"/>
      <c r="G60" s="27"/>
      <c r="H60" s="10">
        <v>0</v>
      </c>
      <c r="I60" s="10">
        <v>0</v>
      </c>
      <c r="J60" s="10">
        <v>0</v>
      </c>
      <c r="K60" s="27"/>
      <c r="L60">
        <f>$C60*H60*Days!$F$1</f>
        <v>0</v>
      </c>
      <c r="M60">
        <f>$C60*I60*Days!$F$1</f>
        <v>0</v>
      </c>
      <c r="N60">
        <f>$C60*J60*Days!$F$1</f>
        <v>0</v>
      </c>
      <c r="O60" s="27"/>
      <c r="P60">
        <f t="shared" ca="1" si="24"/>
        <v>0</v>
      </c>
      <c r="Q60">
        <f t="shared" ca="1" si="25"/>
        <v>0</v>
      </c>
      <c r="R60">
        <f t="shared" ca="1" si="26"/>
        <v>0</v>
      </c>
      <c r="S60" s="27"/>
      <c r="T60" s="7">
        <f t="shared" si="27"/>
        <v>45612</v>
      </c>
      <c r="U60" s="6">
        <f t="shared" si="28"/>
        <v>0</v>
      </c>
      <c r="V60">
        <f>COUNTIFS('2024 - L&amp;G R64 - Test Instances'!H:H,B60,'2024 - L&amp;G R64 - Test Instances'!L:L,$V$2,'2024 - L&amp;G R64 - Test Instances'!O:O,"Done")</f>
        <v>0</v>
      </c>
      <c r="W60">
        <f>COUNTIFS('2024 - L&amp;G R64 - Test Instances'!H:H,B60,'2024 - L&amp;G R64 - Test Instances'!L:L,$W$2,'2024 - L&amp;G R64 - Test Instances'!O:O,"Done")</f>
        <v>0</v>
      </c>
      <c r="X60">
        <f>COUNTIFS('2024 - L&amp;G R64 - Test Instances'!H:H,B60,'2024 - L&amp;G R64 - Test Instances'!L:L,$X$2,'2024 - L&amp;G R64 - Test Instances'!O:O,"Done")</f>
        <v>0</v>
      </c>
      <c r="Y60" s="27">
        <v>8</v>
      </c>
      <c r="Z60" s="29">
        <f ca="1">IF(B60&gt;TODAY(),"",SUM($V$3:V60)/SUM($D$3:D60))</f>
        <v>7.5882352941176467</v>
      </c>
      <c r="AA60" s="29">
        <f ca="1">IF(B60&gt;TODAY(),"",SUM($W$3:W60)/SUM($E$3:E60))</f>
        <v>12.111111111111111</v>
      </c>
      <c r="AB60" s="29" t="e">
        <f ca="1">IF(B60&gt;TODAY(),"",SUM($X$3:X60)/SUM($F$3:F60))</f>
        <v>#DIV/0!</v>
      </c>
      <c r="AC60" s="27"/>
      <c r="AD60" s="7">
        <f t="shared" si="29"/>
        <v>45612</v>
      </c>
      <c r="AE60" s="29">
        <f t="shared" si="30"/>
        <v>0</v>
      </c>
      <c r="AF60" s="37">
        <f t="shared" si="31"/>
        <v>0</v>
      </c>
      <c r="AG60" s="29">
        <f t="shared" ca="1" si="32"/>
        <v>19.699346405228759</v>
      </c>
      <c r="AH60" s="27"/>
      <c r="AI60" s="7">
        <f t="shared" si="33"/>
        <v>45612</v>
      </c>
      <c r="AJ60" s="15">
        <f t="shared" si="19"/>
        <v>-286</v>
      </c>
      <c r="AK60" s="15">
        <f t="shared" ca="1" si="40"/>
        <v>32</v>
      </c>
      <c r="AL60" s="27"/>
      <c r="AM60" s="11">
        <f t="shared" si="34"/>
        <v>45612</v>
      </c>
      <c r="AN60" s="28">
        <f t="shared" ca="1" si="41"/>
        <v>0</v>
      </c>
      <c r="AO60" s="28" t="e">
        <f t="shared" ca="1" si="42"/>
        <v>#DIV/0!</v>
      </c>
      <c r="AP60">
        <f t="shared" si="35"/>
        <v>0</v>
      </c>
      <c r="AQ60" s="11">
        <f t="shared" ca="1" si="23"/>
        <v>45612.2</v>
      </c>
      <c r="AR60" s="29">
        <f ca="1">AK60/(NETWORKDAYS(B60,$AU$1,Days!$A$11:$A$25)-1)</f>
        <v>-1.4545454545454546</v>
      </c>
      <c r="AS60" s="29">
        <f t="shared" ca="1" si="17"/>
        <v>-0.72727272727272729</v>
      </c>
      <c r="AT60" s="27"/>
      <c r="AV60" s="10">
        <f t="shared" si="36"/>
        <v>0</v>
      </c>
      <c r="AW60" s="10">
        <f t="shared" si="37"/>
        <v>0</v>
      </c>
      <c r="AX60" s="10">
        <f t="shared" si="38"/>
        <v>0</v>
      </c>
      <c r="AY60" s="7">
        <f t="shared" si="39"/>
        <v>45612</v>
      </c>
      <c r="AZ60">
        <f ca="1">IF(B60&gt;TODAY(),"",SUM($V$3:V60)/SUM($AV$3:AV60))</f>
        <v>7.5882352941176467</v>
      </c>
      <c r="BA60">
        <f ca="1">IF(B60&gt;TODAY(),"",SUM($W$3:W60)/SUM($AW$3:AW60))</f>
        <v>12.823529411764707</v>
      </c>
      <c r="BB60" t="e">
        <f ca="1">IF(B60&gt;TODAY(),"",SUM($X$3:X60)/SUM($AX$3:AX60))</f>
        <v>#DIV/0!</v>
      </c>
    </row>
    <row r="61" spans="1:54" x14ac:dyDescent="0.25">
      <c r="A61" s="6" t="str">
        <f>VLOOKUP(WEEKDAY(B61,2),Days!$A$1:$B$7,2,0)</f>
        <v>Sun</v>
      </c>
      <c r="B61" s="7">
        <f t="shared" si="18"/>
        <v>45613</v>
      </c>
      <c r="C61" s="6">
        <f>IF(AND(A61&lt;&gt;"Sat",A61&lt;&gt;"Sun",ISERROR(VLOOKUP(B61,Days!$A$10:$A$38,1,0))),1,(IF(AF61&lt;&gt;0,1,0)))</f>
        <v>0</v>
      </c>
      <c r="D61" s="10"/>
      <c r="E61" s="10"/>
      <c r="F61" s="10"/>
      <c r="G61" s="27"/>
      <c r="H61" s="10">
        <v>0</v>
      </c>
      <c r="I61" s="10">
        <v>0</v>
      </c>
      <c r="J61" s="10">
        <v>0</v>
      </c>
      <c r="K61" s="27"/>
      <c r="L61">
        <f>$C61*H61*Days!$F$1</f>
        <v>0</v>
      </c>
      <c r="M61">
        <f>$C61*I61*Days!$F$1</f>
        <v>0</v>
      </c>
      <c r="N61">
        <f>$C61*J61*Days!$F$1</f>
        <v>0</v>
      </c>
      <c r="O61" s="27"/>
      <c r="P61">
        <f t="shared" ca="1" si="24"/>
        <v>0</v>
      </c>
      <c r="Q61">
        <f t="shared" ca="1" si="25"/>
        <v>0</v>
      </c>
      <c r="R61">
        <f t="shared" ca="1" si="26"/>
        <v>0</v>
      </c>
      <c r="S61" s="27"/>
      <c r="T61" s="7">
        <f t="shared" si="27"/>
        <v>45613</v>
      </c>
      <c r="U61" s="6">
        <f t="shared" si="28"/>
        <v>0</v>
      </c>
      <c r="V61">
        <f>COUNTIFS('2024 - L&amp;G R64 - Test Instances'!H:H,B61,'2024 - L&amp;G R64 - Test Instances'!L:L,$V$2,'2024 - L&amp;G R64 - Test Instances'!O:O,"Done")</f>
        <v>0</v>
      </c>
      <c r="W61">
        <f>COUNTIFS('2024 - L&amp;G R64 - Test Instances'!H:H,B61,'2024 - L&amp;G R64 - Test Instances'!L:L,$W$2,'2024 - L&amp;G R64 - Test Instances'!O:O,"Done")</f>
        <v>0</v>
      </c>
      <c r="X61">
        <f>COUNTIFS('2024 - L&amp;G R64 - Test Instances'!H:H,B61,'2024 - L&amp;G R64 - Test Instances'!L:L,$X$2,'2024 - L&amp;G R64 - Test Instances'!O:O,"Done")</f>
        <v>0</v>
      </c>
      <c r="Y61" s="27">
        <v>8</v>
      </c>
      <c r="Z61" s="29">
        <f ca="1">IF(B61&gt;TODAY(),"",SUM($V$3:V61)/SUM($D$3:D61))</f>
        <v>7.5882352941176467</v>
      </c>
      <c r="AA61" s="29">
        <f ca="1">IF(B61&gt;TODAY(),"",SUM($W$3:W61)/SUM($E$3:E61))</f>
        <v>12.111111111111111</v>
      </c>
      <c r="AB61" s="29" t="e">
        <f ca="1">IF(B61&gt;TODAY(),"",SUM($X$3:X61)/SUM($F$3:F61))</f>
        <v>#DIV/0!</v>
      </c>
      <c r="AC61" s="27"/>
      <c r="AD61" s="7">
        <f t="shared" si="29"/>
        <v>45613</v>
      </c>
      <c r="AE61" s="29">
        <f t="shared" si="30"/>
        <v>0</v>
      </c>
      <c r="AF61" s="37">
        <f t="shared" si="31"/>
        <v>0</v>
      </c>
      <c r="AG61" s="29">
        <f t="shared" ca="1" si="32"/>
        <v>19.699346405228759</v>
      </c>
      <c r="AH61" s="27"/>
      <c r="AI61" s="7">
        <f t="shared" si="33"/>
        <v>45613</v>
      </c>
      <c r="AJ61" s="15">
        <f t="shared" si="19"/>
        <v>-286</v>
      </c>
      <c r="AK61" s="15">
        <f t="shared" ca="1" si="40"/>
        <v>32</v>
      </c>
      <c r="AL61" s="27"/>
      <c r="AM61" s="11">
        <f t="shared" si="34"/>
        <v>45613</v>
      </c>
      <c r="AN61" s="28">
        <f t="shared" ca="1" si="41"/>
        <v>0</v>
      </c>
      <c r="AO61" s="28" t="e">
        <f t="shared" ca="1" si="42"/>
        <v>#DIV/0!</v>
      </c>
      <c r="AP61">
        <f t="shared" si="35"/>
        <v>0</v>
      </c>
      <c r="AQ61" s="11">
        <f t="shared" ca="1" si="23"/>
        <v>45612.2</v>
      </c>
      <c r="AR61" s="29">
        <f ca="1">AK61/(NETWORKDAYS(B61,$AU$1,Days!$A$11:$A$25)-1)</f>
        <v>-1.4545454545454546</v>
      </c>
      <c r="AS61" s="29">
        <f t="shared" ca="1" si="17"/>
        <v>-0.72727272727272729</v>
      </c>
      <c r="AT61" s="27"/>
      <c r="AV61" s="10">
        <f t="shared" si="36"/>
        <v>0</v>
      </c>
      <c r="AW61" s="10">
        <f t="shared" si="37"/>
        <v>0</v>
      </c>
      <c r="AX61" s="10">
        <f t="shared" si="38"/>
        <v>0</v>
      </c>
      <c r="AY61" s="7">
        <f t="shared" si="39"/>
        <v>45613</v>
      </c>
      <c r="AZ61">
        <f ca="1">IF(B61&gt;TODAY(),"",SUM($V$3:V61)/SUM($AV$3:AV61))</f>
        <v>7.5882352941176467</v>
      </c>
      <c r="BA61">
        <f ca="1">IF(B61&gt;TODAY(),"",SUM($W$3:W61)/SUM($AW$3:AW61))</f>
        <v>12.823529411764707</v>
      </c>
      <c r="BB61" t="e">
        <f ca="1">IF(B61&gt;TODAY(),"",SUM($X$3:X61)/SUM($AX$3:AX61))</f>
        <v>#DIV/0!</v>
      </c>
    </row>
    <row r="62" spans="1:54" x14ac:dyDescent="0.25">
      <c r="A62" s="6" t="str">
        <f>VLOOKUP(WEEKDAY(B62,2),Days!$A$1:$B$7,2,0)</f>
        <v>Mon</v>
      </c>
      <c r="B62" s="7">
        <f t="shared" si="18"/>
        <v>45614</v>
      </c>
      <c r="C62" s="6">
        <f>IF(AND(A62&lt;&gt;"Sat",A62&lt;&gt;"Sun",ISERROR(VLOOKUP(B62,Days!$A$10:$A$38,1,0))),1,(IF(AF62&lt;&gt;0,1,0)))</f>
        <v>1</v>
      </c>
      <c r="D62" s="10"/>
      <c r="E62" s="10"/>
      <c r="F62" s="10"/>
      <c r="G62" s="27"/>
      <c r="H62" s="10">
        <v>1</v>
      </c>
      <c r="I62" s="10">
        <v>1</v>
      </c>
      <c r="J62" s="10">
        <v>0</v>
      </c>
      <c r="K62" s="27"/>
      <c r="L62">
        <f>$C62*H62*Days!$F$1</f>
        <v>8</v>
      </c>
      <c r="M62">
        <f>$C62*I62*Days!$F$1</f>
        <v>8</v>
      </c>
      <c r="N62">
        <f>$C62*J62*Days!$F$1</f>
        <v>0</v>
      </c>
      <c r="O62" s="27"/>
      <c r="P62">
        <f t="shared" ca="1" si="24"/>
        <v>-8</v>
      </c>
      <c r="Q62">
        <f t="shared" ca="1" si="25"/>
        <v>-8</v>
      </c>
      <c r="R62">
        <f t="shared" ca="1" si="26"/>
        <v>0</v>
      </c>
      <c r="S62" s="27"/>
      <c r="T62" s="7">
        <f t="shared" si="27"/>
        <v>45614</v>
      </c>
      <c r="U62" s="6">
        <f t="shared" si="28"/>
        <v>1</v>
      </c>
      <c r="V62">
        <f>COUNTIFS('2024 - L&amp;G R64 - Test Instances'!H:H,B62,'2024 - L&amp;G R64 - Test Instances'!L:L,$V$2,'2024 - L&amp;G R64 - Test Instances'!O:O,"Done")</f>
        <v>0</v>
      </c>
      <c r="W62">
        <f>COUNTIFS('2024 - L&amp;G R64 - Test Instances'!H:H,B62,'2024 - L&amp;G R64 - Test Instances'!L:L,$W$2,'2024 - L&amp;G R64 - Test Instances'!O:O,"Done")</f>
        <v>0</v>
      </c>
      <c r="X62">
        <f>COUNTIFS('2024 - L&amp;G R64 - Test Instances'!H:H,B62,'2024 - L&amp;G R64 - Test Instances'!L:L,$X$2,'2024 - L&amp;G R64 - Test Instances'!O:O,"Done")</f>
        <v>0</v>
      </c>
      <c r="Y62" s="27">
        <v>8</v>
      </c>
      <c r="Z62" s="29">
        <f ca="1">IF(B62&gt;TODAY(),"",SUM($V$3:V62)/SUM($D$3:D62))</f>
        <v>7.5882352941176467</v>
      </c>
      <c r="AA62" s="29">
        <f ca="1">IF(B62&gt;TODAY(),"",SUM($W$3:W62)/SUM($E$3:E62))</f>
        <v>12.111111111111111</v>
      </c>
      <c r="AB62" s="29" t="e">
        <f ca="1">IF(B62&gt;TODAY(),"",SUM($X$3:X62)/SUM($F$3:F62))</f>
        <v>#DIV/0!</v>
      </c>
      <c r="AC62" s="27"/>
      <c r="AD62" s="7">
        <f t="shared" si="29"/>
        <v>45614</v>
      </c>
      <c r="AE62" s="29">
        <f t="shared" si="30"/>
        <v>16</v>
      </c>
      <c r="AF62" s="37">
        <f t="shared" si="31"/>
        <v>0</v>
      </c>
      <c r="AG62" s="29">
        <f t="shared" ca="1" si="32"/>
        <v>19.699346405228759</v>
      </c>
      <c r="AH62" s="27"/>
      <c r="AI62" s="7">
        <f t="shared" si="33"/>
        <v>45614</v>
      </c>
      <c r="AJ62" s="15">
        <f t="shared" si="19"/>
        <v>-302</v>
      </c>
      <c r="AK62" s="15">
        <f t="shared" ca="1" si="40"/>
        <v>32</v>
      </c>
      <c r="AL62" s="27"/>
      <c r="AM62" s="11">
        <f t="shared" si="34"/>
        <v>45614</v>
      </c>
      <c r="AN62" s="28">
        <f t="shared" ca="1" si="41"/>
        <v>0</v>
      </c>
      <c r="AO62" s="28" t="e">
        <f t="shared" ca="1" si="42"/>
        <v>#DIV/0!</v>
      </c>
      <c r="AP62">
        <f t="shared" si="35"/>
        <v>0</v>
      </c>
      <c r="AQ62" s="11">
        <f t="shared" ca="1" si="23"/>
        <v>45612.2</v>
      </c>
      <c r="AR62" s="29">
        <f ca="1">AK62/(NETWORKDAYS(B62,$AU$1,Days!$A$11:$A$25)-1)</f>
        <v>-1.3913043478260869</v>
      </c>
      <c r="AS62" s="29">
        <f t="shared" ca="1" si="17"/>
        <v>-0.69565217391304346</v>
      </c>
      <c r="AT62" s="27"/>
      <c r="AV62" s="10">
        <f t="shared" si="36"/>
        <v>0</v>
      </c>
      <c r="AW62" s="10">
        <f t="shared" si="37"/>
        <v>0</v>
      </c>
      <c r="AX62" s="10">
        <f t="shared" si="38"/>
        <v>0</v>
      </c>
      <c r="AY62" s="7">
        <f t="shared" si="39"/>
        <v>45614</v>
      </c>
      <c r="AZ62">
        <f ca="1">IF(B62&gt;TODAY(),"",SUM($V$3:V62)/SUM($AV$3:AV62))</f>
        <v>7.5882352941176467</v>
      </c>
      <c r="BA62">
        <f ca="1">IF(B62&gt;TODAY(),"",SUM($W$3:W62)/SUM($AW$3:AW62))</f>
        <v>12.823529411764707</v>
      </c>
      <c r="BB62" t="e">
        <f ca="1">IF(B62&gt;TODAY(),"",SUM($X$3:X62)/SUM($AX$3:AX62))</f>
        <v>#DIV/0!</v>
      </c>
    </row>
    <row r="63" spans="1:54" x14ac:dyDescent="0.25">
      <c r="A63" s="6" t="str">
        <f>VLOOKUP(WEEKDAY(B63,2),Days!$A$1:$B$7,2,0)</f>
        <v>Tue</v>
      </c>
      <c r="B63" s="7">
        <f t="shared" si="18"/>
        <v>45615</v>
      </c>
      <c r="C63" s="6">
        <f>IF(AND(A63&lt;&gt;"Sat",A63&lt;&gt;"Sun",ISERROR(VLOOKUP(B63,Days!$A$10:$A$38,1,0))),1,(IF(AF63&lt;&gt;0,1,0)))</f>
        <v>1</v>
      </c>
      <c r="D63" s="10"/>
      <c r="E63" s="10"/>
      <c r="F63" s="10"/>
      <c r="G63" s="27"/>
      <c r="H63" s="10">
        <v>1</v>
      </c>
      <c r="I63" s="10">
        <v>1</v>
      </c>
      <c r="J63" s="10">
        <v>0</v>
      </c>
      <c r="K63" s="27"/>
      <c r="L63">
        <f>$C63*H63*Days!$F$1</f>
        <v>8</v>
      </c>
      <c r="M63">
        <f>$C63*I63*Days!$F$1</f>
        <v>8</v>
      </c>
      <c r="N63">
        <f>$C63*J63*Days!$F$1</f>
        <v>0</v>
      </c>
      <c r="O63" s="27"/>
      <c r="P63">
        <f t="shared" ca="1" si="24"/>
        <v>-8</v>
      </c>
      <c r="Q63">
        <f t="shared" ca="1" si="25"/>
        <v>-8</v>
      </c>
      <c r="R63">
        <f t="shared" ca="1" si="26"/>
        <v>0</v>
      </c>
      <c r="S63" s="27"/>
      <c r="T63" s="7">
        <f t="shared" si="27"/>
        <v>45615</v>
      </c>
      <c r="U63" s="6">
        <f t="shared" si="28"/>
        <v>1</v>
      </c>
      <c r="V63">
        <f>COUNTIFS('2024 - L&amp;G R64 - Test Instances'!H:H,B63,'2024 - L&amp;G R64 - Test Instances'!L:L,$V$2,'2024 - L&amp;G R64 - Test Instances'!O:O,"Done")</f>
        <v>0</v>
      </c>
      <c r="W63">
        <f>COUNTIFS('2024 - L&amp;G R64 - Test Instances'!H:H,B63,'2024 - L&amp;G R64 - Test Instances'!L:L,$W$2,'2024 - L&amp;G R64 - Test Instances'!O:O,"Done")</f>
        <v>0</v>
      </c>
      <c r="X63">
        <f>COUNTIFS('2024 - L&amp;G R64 - Test Instances'!H:H,B63,'2024 - L&amp;G R64 - Test Instances'!L:L,$X$2,'2024 - L&amp;G R64 - Test Instances'!O:O,"Done")</f>
        <v>0</v>
      </c>
      <c r="Y63" s="27">
        <v>8</v>
      </c>
      <c r="Z63" s="29">
        <f ca="1">IF(B63&gt;TODAY(),"",SUM($V$3:V63)/SUM($D$3:D63))</f>
        <v>7.5882352941176467</v>
      </c>
      <c r="AA63" s="29">
        <f ca="1">IF(B63&gt;TODAY(),"",SUM($W$3:W63)/SUM($E$3:E63))</f>
        <v>12.111111111111111</v>
      </c>
      <c r="AB63" s="29" t="e">
        <f ca="1">IF(B63&gt;TODAY(),"",SUM($X$3:X63)/SUM($F$3:F63))</f>
        <v>#DIV/0!</v>
      </c>
      <c r="AC63" s="27"/>
      <c r="AD63" s="7">
        <f t="shared" si="29"/>
        <v>45615</v>
      </c>
      <c r="AE63" s="29">
        <f t="shared" si="30"/>
        <v>16</v>
      </c>
      <c r="AF63" s="37">
        <f t="shared" si="31"/>
        <v>0</v>
      </c>
      <c r="AG63" s="29">
        <f t="shared" ca="1" si="32"/>
        <v>19.699346405228759</v>
      </c>
      <c r="AH63" s="27"/>
      <c r="AI63" s="7">
        <f t="shared" si="33"/>
        <v>45615</v>
      </c>
      <c r="AJ63" s="15">
        <f t="shared" si="19"/>
        <v>-318</v>
      </c>
      <c r="AK63" s="15">
        <f t="shared" ca="1" si="40"/>
        <v>32</v>
      </c>
      <c r="AL63" s="27"/>
      <c r="AM63" s="11">
        <f t="shared" si="34"/>
        <v>45615</v>
      </c>
      <c r="AN63" s="28">
        <f t="shared" ca="1" si="41"/>
        <v>0</v>
      </c>
      <c r="AO63" s="28" t="e">
        <f t="shared" ca="1" si="42"/>
        <v>#DIV/0!</v>
      </c>
      <c r="AP63">
        <f t="shared" si="35"/>
        <v>0</v>
      </c>
      <c r="AQ63" s="11">
        <f t="shared" ca="1" si="23"/>
        <v>45612.2</v>
      </c>
      <c r="AR63" s="29">
        <f ca="1">AK63/(NETWORKDAYS(B63,$AU$1,Days!$A$11:$A$25)-1)</f>
        <v>-1.3333333333333333</v>
      </c>
      <c r="AS63" s="29">
        <f t="shared" ca="1" si="17"/>
        <v>-0.66666666666666663</v>
      </c>
      <c r="AT63" s="27"/>
      <c r="AV63" s="10">
        <f t="shared" si="36"/>
        <v>0</v>
      </c>
      <c r="AW63" s="10">
        <f t="shared" si="37"/>
        <v>0</v>
      </c>
      <c r="AX63" s="10">
        <f t="shared" si="38"/>
        <v>0</v>
      </c>
      <c r="AY63" s="7">
        <f t="shared" si="39"/>
        <v>45615</v>
      </c>
      <c r="AZ63">
        <f ca="1">IF(B63&gt;TODAY(),"",SUM($V$3:V63)/SUM($AV$3:AV63))</f>
        <v>7.5882352941176467</v>
      </c>
      <c r="BA63">
        <f ca="1">IF(B63&gt;TODAY(),"",SUM($W$3:W63)/SUM($AW$3:AW63))</f>
        <v>12.823529411764707</v>
      </c>
      <c r="BB63" t="e">
        <f ca="1">IF(B63&gt;TODAY(),"",SUM($X$3:X63)/SUM($AX$3:AX63))</f>
        <v>#DIV/0!</v>
      </c>
    </row>
    <row r="64" spans="1:54" x14ac:dyDescent="0.25">
      <c r="A64" s="6" t="str">
        <f>VLOOKUP(WEEKDAY(B64,2),Days!$A$1:$B$7,2,0)</f>
        <v>Wed</v>
      </c>
      <c r="B64" s="7">
        <f t="shared" si="18"/>
        <v>45616</v>
      </c>
      <c r="C64" s="6">
        <f>IF(AND(A64&lt;&gt;"Sat",A64&lt;&gt;"Sun",ISERROR(VLOOKUP(B64,Days!$A$10:$A$38,1,0))),1,(IF(AF64&lt;&gt;0,1,0)))</f>
        <v>1</v>
      </c>
      <c r="D64" s="10"/>
      <c r="E64" s="10"/>
      <c r="F64" s="10"/>
      <c r="G64" s="27"/>
      <c r="H64" s="10">
        <v>1</v>
      </c>
      <c r="I64" s="10">
        <v>1</v>
      </c>
      <c r="J64" s="10">
        <v>0</v>
      </c>
      <c r="K64" s="27"/>
      <c r="L64">
        <f>$C64*H64*Days!$F$1</f>
        <v>8</v>
      </c>
      <c r="M64">
        <f>$C64*I64*Days!$F$1</f>
        <v>8</v>
      </c>
      <c r="N64">
        <f>$C64*J64*Days!$F$1</f>
        <v>0</v>
      </c>
      <c r="O64" s="27"/>
      <c r="P64">
        <f t="shared" ca="1" si="24"/>
        <v>-8</v>
      </c>
      <c r="Q64">
        <f t="shared" ca="1" si="25"/>
        <v>-8</v>
      </c>
      <c r="R64">
        <f t="shared" ca="1" si="26"/>
        <v>0</v>
      </c>
      <c r="S64" s="27"/>
      <c r="T64" s="7">
        <f t="shared" si="27"/>
        <v>45616</v>
      </c>
      <c r="U64" s="6">
        <f t="shared" si="28"/>
        <v>1</v>
      </c>
      <c r="V64">
        <f>COUNTIFS('2024 - L&amp;G R64 - Test Instances'!H:H,B64,'2024 - L&amp;G R64 - Test Instances'!L:L,$V$2,'2024 - L&amp;G R64 - Test Instances'!O:O,"Done")</f>
        <v>0</v>
      </c>
      <c r="W64">
        <f>COUNTIFS('2024 - L&amp;G R64 - Test Instances'!H:H,B64,'2024 - L&amp;G R64 - Test Instances'!L:L,$W$2,'2024 - L&amp;G R64 - Test Instances'!O:O,"Done")</f>
        <v>0</v>
      </c>
      <c r="X64">
        <f>COUNTIFS('2024 - L&amp;G R64 - Test Instances'!H:H,B64,'2024 - L&amp;G R64 - Test Instances'!L:L,$X$2,'2024 - L&amp;G R64 - Test Instances'!O:O,"Done")</f>
        <v>0</v>
      </c>
      <c r="Y64" s="27">
        <v>8</v>
      </c>
      <c r="Z64" s="29">
        <f ca="1">IF(B64&gt;TODAY(),"",SUM($V$3:V64)/SUM($D$3:D64))</f>
        <v>7.5882352941176467</v>
      </c>
      <c r="AA64" s="29">
        <f ca="1">IF(B64&gt;TODAY(),"",SUM($W$3:W64)/SUM($E$3:E64))</f>
        <v>12.111111111111111</v>
      </c>
      <c r="AB64" s="29" t="e">
        <f ca="1">IF(B64&gt;TODAY(),"",SUM($X$3:X64)/SUM($F$3:F64))</f>
        <v>#DIV/0!</v>
      </c>
      <c r="AC64" s="27"/>
      <c r="AD64" s="7">
        <f t="shared" si="29"/>
        <v>45616</v>
      </c>
      <c r="AE64" s="29">
        <f t="shared" si="30"/>
        <v>16</v>
      </c>
      <c r="AF64" s="37">
        <f t="shared" si="31"/>
        <v>0</v>
      </c>
      <c r="AG64" s="29">
        <f t="shared" ca="1" si="32"/>
        <v>19.699346405228759</v>
      </c>
      <c r="AH64" s="27"/>
      <c r="AI64" s="7">
        <f t="shared" si="33"/>
        <v>45616</v>
      </c>
      <c r="AJ64" s="15">
        <f t="shared" si="19"/>
        <v>-334</v>
      </c>
      <c r="AK64" s="15">
        <f t="shared" ca="1" si="40"/>
        <v>32</v>
      </c>
      <c r="AL64" s="27"/>
      <c r="AM64" s="11">
        <f t="shared" si="34"/>
        <v>45616</v>
      </c>
      <c r="AN64" s="28">
        <f t="shared" ca="1" si="41"/>
        <v>0</v>
      </c>
      <c r="AO64" s="28" t="e">
        <f t="shared" ca="1" si="42"/>
        <v>#DIV/0!</v>
      </c>
      <c r="AP64">
        <f t="shared" si="35"/>
        <v>0</v>
      </c>
      <c r="AQ64" s="11">
        <f t="shared" ca="1" si="23"/>
        <v>45612.2</v>
      </c>
      <c r="AR64" s="29">
        <f ca="1">AK64/(NETWORKDAYS(B64,$AU$1,Days!$A$11:$A$25)-1)</f>
        <v>-1.28</v>
      </c>
      <c r="AS64" s="29">
        <f t="shared" ca="1" si="17"/>
        <v>-0.64</v>
      </c>
      <c r="AT64" s="27"/>
      <c r="AV64" s="10">
        <f t="shared" si="36"/>
        <v>0</v>
      </c>
      <c r="AW64" s="10">
        <f t="shared" si="37"/>
        <v>0</v>
      </c>
      <c r="AX64" s="10">
        <f t="shared" si="38"/>
        <v>0</v>
      </c>
      <c r="AY64" s="7">
        <f t="shared" si="39"/>
        <v>45616</v>
      </c>
      <c r="AZ64">
        <f ca="1">IF(B64&gt;TODAY(),"",SUM($V$3:V64)/SUM($AV$3:AV64))</f>
        <v>7.5882352941176467</v>
      </c>
      <c r="BA64">
        <f ca="1">IF(B64&gt;TODAY(),"",SUM($W$3:W64)/SUM($AW$3:AW64))</f>
        <v>12.823529411764707</v>
      </c>
      <c r="BB64" t="e">
        <f ca="1">IF(B64&gt;TODAY(),"",SUM($X$3:X64)/SUM($AX$3:AX64))</f>
        <v>#DIV/0!</v>
      </c>
    </row>
    <row r="65" spans="1:54" x14ac:dyDescent="0.25">
      <c r="A65" s="6" t="str">
        <f>VLOOKUP(WEEKDAY(B65,2),Days!$A$1:$B$7,2,0)</f>
        <v>Thu</v>
      </c>
      <c r="B65" s="7">
        <f t="shared" si="18"/>
        <v>45617</v>
      </c>
      <c r="C65" s="6">
        <f>IF(AND(A65&lt;&gt;"Sat",A65&lt;&gt;"Sun",ISERROR(VLOOKUP(B65,Days!$A$10:$A$38,1,0))),1,(IF(AF65&lt;&gt;0,1,0)))</f>
        <v>1</v>
      </c>
      <c r="D65" s="10"/>
      <c r="E65" s="10"/>
      <c r="F65" s="10"/>
      <c r="G65" s="27"/>
      <c r="H65" s="10">
        <v>1</v>
      </c>
      <c r="I65" s="10">
        <v>1</v>
      </c>
      <c r="J65" s="10">
        <v>0</v>
      </c>
      <c r="K65" s="27"/>
      <c r="L65">
        <f>$C65*H65*Days!$F$1</f>
        <v>8</v>
      </c>
      <c r="M65">
        <f>$C65*I65*Days!$F$1</f>
        <v>8</v>
      </c>
      <c r="N65">
        <f>$C65*J65*Days!$F$1</f>
        <v>0</v>
      </c>
      <c r="O65" s="27"/>
      <c r="P65">
        <f t="shared" ca="1" si="24"/>
        <v>-8</v>
      </c>
      <c r="Q65">
        <f t="shared" ca="1" si="25"/>
        <v>-8</v>
      </c>
      <c r="R65">
        <f t="shared" ca="1" si="26"/>
        <v>0</v>
      </c>
      <c r="S65" s="27"/>
      <c r="T65" s="7">
        <f t="shared" si="27"/>
        <v>45617</v>
      </c>
      <c r="U65" s="6">
        <f t="shared" si="28"/>
        <v>1</v>
      </c>
      <c r="V65">
        <f>COUNTIFS('2024 - L&amp;G R64 - Test Instances'!H:H,B65,'2024 - L&amp;G R64 - Test Instances'!L:L,$V$2,'2024 - L&amp;G R64 - Test Instances'!O:O,"Done")</f>
        <v>0</v>
      </c>
      <c r="W65">
        <f>COUNTIFS('2024 - L&amp;G R64 - Test Instances'!H:H,B65,'2024 - L&amp;G R64 - Test Instances'!L:L,$W$2,'2024 - L&amp;G R64 - Test Instances'!O:O,"Done")</f>
        <v>0</v>
      </c>
      <c r="X65">
        <f>COUNTIFS('2024 - L&amp;G R64 - Test Instances'!H:H,B65,'2024 - L&amp;G R64 - Test Instances'!L:L,$X$2,'2024 - L&amp;G R64 - Test Instances'!O:O,"Done")</f>
        <v>0</v>
      </c>
      <c r="Y65" s="27">
        <v>8</v>
      </c>
      <c r="Z65" s="29">
        <f ca="1">IF(B65&gt;TODAY(),"",SUM($V$3:V65)/SUM($D$3:D65))</f>
        <v>7.5882352941176467</v>
      </c>
      <c r="AA65" s="29">
        <f ca="1">IF(B65&gt;TODAY(),"",SUM($W$3:W65)/SUM($E$3:E65))</f>
        <v>12.111111111111111</v>
      </c>
      <c r="AB65" s="29" t="e">
        <f ca="1">IF(B65&gt;TODAY(),"",SUM($X$3:X65)/SUM($F$3:F65))</f>
        <v>#DIV/0!</v>
      </c>
      <c r="AC65" s="27"/>
      <c r="AD65" s="7">
        <f t="shared" si="29"/>
        <v>45617</v>
      </c>
      <c r="AE65" s="29">
        <f t="shared" si="30"/>
        <v>16</v>
      </c>
      <c r="AF65" s="37">
        <f t="shared" si="31"/>
        <v>0</v>
      </c>
      <c r="AG65" s="29">
        <f t="shared" ca="1" si="32"/>
        <v>19.699346405228759</v>
      </c>
      <c r="AH65" s="27"/>
      <c r="AI65" s="7">
        <f t="shared" si="33"/>
        <v>45617</v>
      </c>
      <c r="AJ65" s="15">
        <f t="shared" si="19"/>
        <v>-350</v>
      </c>
      <c r="AK65" s="15">
        <f t="shared" ca="1" si="40"/>
        <v>32</v>
      </c>
      <c r="AL65" s="27"/>
      <c r="AM65" s="11">
        <f t="shared" si="34"/>
        <v>45617</v>
      </c>
      <c r="AN65" s="28">
        <f t="shared" ca="1" si="41"/>
        <v>0</v>
      </c>
      <c r="AO65" s="28" t="e">
        <f t="shared" ca="1" si="42"/>
        <v>#DIV/0!</v>
      </c>
      <c r="AP65">
        <f t="shared" si="35"/>
        <v>0</v>
      </c>
      <c r="AQ65" s="11">
        <f t="shared" ca="1" si="23"/>
        <v>45612.2</v>
      </c>
      <c r="AR65" s="29">
        <f ca="1">AK65/(NETWORKDAYS(B65,$AU$1,Days!$A$11:$A$25)-1)</f>
        <v>-1.2307692307692308</v>
      </c>
      <c r="AS65" s="29">
        <f t="shared" ca="1" si="17"/>
        <v>-0.61538461538461542</v>
      </c>
      <c r="AT65" s="27"/>
      <c r="AV65" s="10">
        <f t="shared" si="36"/>
        <v>0</v>
      </c>
      <c r="AW65" s="10">
        <f t="shared" si="37"/>
        <v>0</v>
      </c>
      <c r="AX65" s="10">
        <f t="shared" si="38"/>
        <v>0</v>
      </c>
      <c r="AY65" s="7">
        <f t="shared" si="39"/>
        <v>45617</v>
      </c>
      <c r="AZ65">
        <f ca="1">IF(B65&gt;TODAY(),"",SUM($V$3:V65)/SUM($AV$3:AV65))</f>
        <v>7.5882352941176467</v>
      </c>
      <c r="BA65">
        <f ca="1">IF(B65&gt;TODAY(),"",SUM($W$3:W65)/SUM($AW$3:AW65))</f>
        <v>12.823529411764707</v>
      </c>
      <c r="BB65" t="e">
        <f ca="1">IF(B65&gt;TODAY(),"",SUM($X$3:X65)/SUM($AX$3:AX65))</f>
        <v>#DIV/0!</v>
      </c>
    </row>
    <row r="66" spans="1:54" x14ac:dyDescent="0.25">
      <c r="A66" s="6" t="str">
        <f>VLOOKUP(WEEKDAY(B66,2),Days!$A$1:$B$7,2,0)</f>
        <v>Fri</v>
      </c>
      <c r="B66" s="7">
        <f t="shared" si="18"/>
        <v>45618</v>
      </c>
      <c r="C66" s="6">
        <f>IF(AND(A66&lt;&gt;"Sat",A66&lt;&gt;"Sun",ISERROR(VLOOKUP(B66,Days!$A$10:$A$38,1,0))),1,(IF(AF66&lt;&gt;0,1,0)))</f>
        <v>1</v>
      </c>
      <c r="D66" s="10"/>
      <c r="E66" s="10"/>
      <c r="F66" s="10"/>
      <c r="G66" s="27"/>
      <c r="H66" s="10">
        <v>1</v>
      </c>
      <c r="I66" s="10">
        <v>1</v>
      </c>
      <c r="J66" s="10">
        <v>0</v>
      </c>
      <c r="K66" s="27"/>
      <c r="L66">
        <f>$C66*H66*Days!$F$1</f>
        <v>8</v>
      </c>
      <c r="M66">
        <f>$C66*I66*Days!$F$1</f>
        <v>8</v>
      </c>
      <c r="N66">
        <f>$C66*J66*Days!$F$1</f>
        <v>0</v>
      </c>
      <c r="O66" s="27"/>
      <c r="P66">
        <f t="shared" ca="1" si="24"/>
        <v>-8</v>
      </c>
      <c r="Q66">
        <f t="shared" ca="1" si="25"/>
        <v>-8</v>
      </c>
      <c r="R66">
        <f t="shared" ca="1" si="26"/>
        <v>0</v>
      </c>
      <c r="S66" s="27"/>
      <c r="T66" s="7">
        <f t="shared" si="27"/>
        <v>45618</v>
      </c>
      <c r="U66" s="6">
        <f t="shared" si="28"/>
        <v>1</v>
      </c>
      <c r="V66">
        <f>COUNTIFS('2024 - L&amp;G R64 - Test Instances'!H:H,B66,'2024 - L&amp;G R64 - Test Instances'!L:L,$V$2,'2024 - L&amp;G R64 - Test Instances'!O:O,"Done")</f>
        <v>0</v>
      </c>
      <c r="W66">
        <f>COUNTIFS('2024 - L&amp;G R64 - Test Instances'!H:H,B66,'2024 - L&amp;G R64 - Test Instances'!L:L,$W$2,'2024 - L&amp;G R64 - Test Instances'!O:O,"Done")</f>
        <v>0</v>
      </c>
      <c r="X66">
        <f>COUNTIFS('2024 - L&amp;G R64 - Test Instances'!H:H,B66,'2024 - L&amp;G R64 - Test Instances'!L:L,$X$2,'2024 - L&amp;G R64 - Test Instances'!O:O,"Done")</f>
        <v>0</v>
      </c>
      <c r="Y66" s="27">
        <v>8</v>
      </c>
      <c r="Z66" s="29">
        <f ca="1">IF(B66&gt;TODAY(),"",SUM($V$3:V66)/SUM($D$3:D66))</f>
        <v>7.5882352941176467</v>
      </c>
      <c r="AA66" s="29">
        <f ca="1">IF(B66&gt;TODAY(),"",SUM($W$3:W66)/SUM($E$3:E66))</f>
        <v>12.111111111111111</v>
      </c>
      <c r="AB66" s="29" t="e">
        <f ca="1">IF(B66&gt;TODAY(),"",SUM($X$3:X66)/SUM($F$3:F66))</f>
        <v>#DIV/0!</v>
      </c>
      <c r="AC66" s="27"/>
      <c r="AD66" s="7">
        <f t="shared" si="29"/>
        <v>45618</v>
      </c>
      <c r="AE66" s="29">
        <f t="shared" si="30"/>
        <v>16</v>
      </c>
      <c r="AF66" s="37">
        <f t="shared" si="31"/>
        <v>0</v>
      </c>
      <c r="AG66" s="29">
        <f t="shared" ca="1" si="32"/>
        <v>19.699346405228759</v>
      </c>
      <c r="AH66" s="27"/>
      <c r="AI66" s="7">
        <f t="shared" si="33"/>
        <v>45618</v>
      </c>
      <c r="AJ66" s="15">
        <f t="shared" si="19"/>
        <v>-366</v>
      </c>
      <c r="AK66" s="15">
        <f t="shared" ca="1" si="40"/>
        <v>32</v>
      </c>
      <c r="AL66" s="27"/>
      <c r="AM66" s="11">
        <f t="shared" si="34"/>
        <v>45618</v>
      </c>
      <c r="AN66" s="28">
        <f t="shared" ca="1" si="41"/>
        <v>0</v>
      </c>
      <c r="AO66" s="28" t="e">
        <f t="shared" ca="1" si="42"/>
        <v>#DIV/0!</v>
      </c>
      <c r="AP66">
        <f t="shared" si="35"/>
        <v>0</v>
      </c>
      <c r="AQ66" s="11">
        <f t="shared" ca="1" si="23"/>
        <v>45612.2</v>
      </c>
      <c r="AR66" s="29">
        <f ca="1">AK66/(NETWORKDAYS(B66,$AU$1,Days!$A$11:$A$25)-1)</f>
        <v>-1.1851851851851851</v>
      </c>
      <c r="AS66" s="29">
        <f t="shared" ca="1" si="17"/>
        <v>-0.59259259259259256</v>
      </c>
      <c r="AT66" s="27"/>
      <c r="AV66" s="10">
        <f t="shared" si="36"/>
        <v>0</v>
      </c>
      <c r="AW66" s="10">
        <f t="shared" si="37"/>
        <v>0</v>
      </c>
      <c r="AX66" s="10">
        <f t="shared" si="38"/>
        <v>0</v>
      </c>
      <c r="AY66" s="7">
        <f t="shared" si="39"/>
        <v>45618</v>
      </c>
      <c r="AZ66">
        <f ca="1">IF(B66&gt;TODAY(),"",SUM($V$3:V66)/SUM($AV$3:AV66))</f>
        <v>7.5882352941176467</v>
      </c>
      <c r="BA66">
        <f ca="1">IF(B66&gt;TODAY(),"",SUM($W$3:W66)/SUM($AW$3:AW66))</f>
        <v>12.823529411764707</v>
      </c>
      <c r="BB66" t="e">
        <f ca="1">IF(B66&gt;TODAY(),"",SUM($X$3:X66)/SUM($AX$3:AX66))</f>
        <v>#DIV/0!</v>
      </c>
    </row>
    <row r="67" spans="1:54" x14ac:dyDescent="0.25">
      <c r="A67" s="6" t="str">
        <f>VLOOKUP(WEEKDAY(B67,2),Days!$A$1:$B$7,2,0)</f>
        <v>Sat</v>
      </c>
      <c r="B67" s="7">
        <f t="shared" si="18"/>
        <v>45619</v>
      </c>
      <c r="C67" s="6">
        <f>IF(AND(A67&lt;&gt;"Sat",A67&lt;&gt;"Sun",ISERROR(VLOOKUP(B67,Days!$A$10:$A$38,1,0))),1,(IF(AF67&lt;&gt;0,1,0)))</f>
        <v>0</v>
      </c>
      <c r="D67" s="10"/>
      <c r="E67" s="10"/>
      <c r="F67" s="10"/>
      <c r="G67" s="27"/>
      <c r="H67" s="10">
        <v>0</v>
      </c>
      <c r="I67" s="10">
        <v>0</v>
      </c>
      <c r="J67" s="10">
        <v>0</v>
      </c>
      <c r="K67" s="27"/>
      <c r="L67">
        <f>$C67*H67*Days!$F$1</f>
        <v>0</v>
      </c>
      <c r="M67">
        <f>$C67*I67*Days!$F$1</f>
        <v>0</v>
      </c>
      <c r="N67">
        <f>$C67*J67*Days!$F$1</f>
        <v>0</v>
      </c>
      <c r="O67" s="27"/>
      <c r="P67">
        <f t="shared" ref="P67:P96" ca="1" si="43">IF(B67&gt;TODAY(),0,V67-L67)</f>
        <v>0</v>
      </c>
      <c r="Q67">
        <f t="shared" ref="Q67:Q96" ca="1" si="44">IF(B67&gt;TODAY(),0,W67-M67)</f>
        <v>0</v>
      </c>
      <c r="R67">
        <f t="shared" ref="R67:R96" ca="1" si="45">IF(B67&gt;TODAY(),0,X67-N67)</f>
        <v>0</v>
      </c>
      <c r="S67" s="27"/>
      <c r="T67" s="7">
        <f t="shared" ref="T67:T96" si="46">B67</f>
        <v>45619</v>
      </c>
      <c r="U67" s="6">
        <f t="shared" ref="U67:U96" si="47">C67</f>
        <v>0</v>
      </c>
      <c r="V67">
        <f>COUNTIFS('2024 - L&amp;G R64 - Test Instances'!H:H,B67,'2024 - L&amp;G R64 - Test Instances'!L:L,$V$2,'2024 - L&amp;G R64 - Test Instances'!O:O,"Done")</f>
        <v>0</v>
      </c>
      <c r="W67">
        <f>COUNTIFS('2024 - L&amp;G R64 - Test Instances'!H:H,B67,'2024 - L&amp;G R64 - Test Instances'!L:L,$W$2,'2024 - L&amp;G R64 - Test Instances'!O:O,"Done")</f>
        <v>0</v>
      </c>
      <c r="X67">
        <f>COUNTIFS('2024 - L&amp;G R64 - Test Instances'!H:H,B67,'2024 - L&amp;G R64 - Test Instances'!L:L,$X$2,'2024 - L&amp;G R64 - Test Instances'!O:O,"Done")</f>
        <v>0</v>
      </c>
      <c r="Y67" s="27">
        <v>8</v>
      </c>
      <c r="Z67" s="29">
        <f ca="1">IF(B67&gt;TODAY(),"",SUM($V$3:V67)/SUM($D$3:D67))</f>
        <v>7.5882352941176467</v>
      </c>
      <c r="AA67" s="29">
        <f ca="1">IF(B67&gt;TODAY(),"",SUM($W$3:W67)/SUM($E$3:E67))</f>
        <v>12.111111111111111</v>
      </c>
      <c r="AB67" s="29" t="e">
        <f ca="1">IF(B67&gt;TODAY(),"",SUM($X$3:X67)/SUM($F$3:F67))</f>
        <v>#DIV/0!</v>
      </c>
      <c r="AC67" s="27"/>
      <c r="AD67" s="7">
        <f t="shared" ref="AD67:AD96" si="48">B67</f>
        <v>45619</v>
      </c>
      <c r="AE67" s="29">
        <f t="shared" ref="AE67:AE96" si="49">SUM(L67:N67)</f>
        <v>0</v>
      </c>
      <c r="AF67" s="37">
        <f t="shared" ref="AF67:AF96" si="50">SUM(V67:W67)</f>
        <v>0</v>
      </c>
      <c r="AG67" s="29">
        <f t="shared" ref="AG67:AG96" ca="1" si="51">SUMIF(Z67:AA67,"&lt;&gt;#DIV/0!",Z67:AA67)</f>
        <v>19.699346405228759</v>
      </c>
      <c r="AH67" s="27"/>
      <c r="AI67" s="7">
        <f t="shared" ref="AI67:AI96" si="52">B67</f>
        <v>45619</v>
      </c>
      <c r="AJ67" s="15">
        <f t="shared" si="19"/>
        <v>-366</v>
      </c>
      <c r="AK67" s="15">
        <f t="shared" ca="1" si="40"/>
        <v>32</v>
      </c>
      <c r="AL67" s="27"/>
      <c r="AM67" s="11">
        <f t="shared" ref="AM67:AM96" si="53">B67</f>
        <v>45619</v>
      </c>
      <c r="AN67" s="28">
        <f t="shared" ca="1" si="41"/>
        <v>0</v>
      </c>
      <c r="AO67" s="28" t="e">
        <f t="shared" ca="1" si="42"/>
        <v>#DIV/0!</v>
      </c>
      <c r="AP67">
        <f t="shared" ref="AP67:AP96" si="54">IF(ISERROR(AF67/SUM(D67:F67)),0,AF67/SUM(D67:F67))</f>
        <v>0</v>
      </c>
      <c r="AQ67" s="11">
        <f t="shared" ca="1" si="23"/>
        <v>45612.2</v>
      </c>
      <c r="AR67" s="29">
        <f ca="1">AK67/(NETWORKDAYS(B67,$AU$1,Days!$A$11:$A$25)-1)</f>
        <v>-1.1851851851851851</v>
      </c>
      <c r="AS67" s="29">
        <f t="shared" ca="1" si="17"/>
        <v>-0.59259259259259256</v>
      </c>
      <c r="AT67" s="27"/>
      <c r="AV67" s="10">
        <f t="shared" ref="AV67:AV96" si="55">IF(V67&gt;0,1,0)</f>
        <v>0</v>
      </c>
      <c r="AW67" s="10">
        <f t="shared" ref="AW67:AW96" si="56">IF(W67&gt;0,1,0)</f>
        <v>0</v>
      </c>
      <c r="AX67" s="10">
        <f t="shared" ref="AX67:AX96" si="57">IF(X67&gt;0,1,0)</f>
        <v>0</v>
      </c>
      <c r="AY67" s="7">
        <f t="shared" ref="AY67:AY96" si="58">B67</f>
        <v>45619</v>
      </c>
      <c r="AZ67">
        <f ca="1">IF(B67&gt;TODAY(),"",SUM($V$3:V67)/SUM($AV$3:AV67))</f>
        <v>7.5882352941176467</v>
      </c>
      <c r="BA67">
        <f ca="1">IF(B67&gt;TODAY(),"",SUM($W$3:W67)/SUM($AW$3:AW67))</f>
        <v>12.823529411764707</v>
      </c>
      <c r="BB67" t="e">
        <f ca="1">IF(B67&gt;TODAY(),"",SUM($X$3:X67)/SUM($AX$3:AX67))</f>
        <v>#DIV/0!</v>
      </c>
    </row>
    <row r="68" spans="1:54" x14ac:dyDescent="0.25">
      <c r="A68" s="6" t="str">
        <f>VLOOKUP(WEEKDAY(B68,2),Days!$A$1:$B$7,2,0)</f>
        <v>Sun</v>
      </c>
      <c r="B68" s="7">
        <f t="shared" si="18"/>
        <v>45620</v>
      </c>
      <c r="C68" s="6">
        <f>IF(AND(A68&lt;&gt;"Sat",A68&lt;&gt;"Sun",ISERROR(VLOOKUP(B68,Days!$A$10:$A$38,1,0))),1,(IF(AF68&lt;&gt;0,1,0)))</f>
        <v>0</v>
      </c>
      <c r="D68" s="10"/>
      <c r="E68" s="10"/>
      <c r="F68" s="10"/>
      <c r="G68" s="27"/>
      <c r="H68" s="10">
        <v>0</v>
      </c>
      <c r="I68" s="10">
        <v>0</v>
      </c>
      <c r="J68" s="10">
        <v>0</v>
      </c>
      <c r="K68" s="27"/>
      <c r="L68">
        <f>$C68*H68*Days!$F$1</f>
        <v>0</v>
      </c>
      <c r="M68">
        <f>$C68*I68*Days!$F$1</f>
        <v>0</v>
      </c>
      <c r="N68">
        <f>$C68*J68*Days!$F$1</f>
        <v>0</v>
      </c>
      <c r="O68" s="27"/>
      <c r="P68">
        <f t="shared" ca="1" si="43"/>
        <v>0</v>
      </c>
      <c r="Q68">
        <f t="shared" ca="1" si="44"/>
        <v>0</v>
      </c>
      <c r="R68">
        <f t="shared" ca="1" si="45"/>
        <v>0</v>
      </c>
      <c r="S68" s="27"/>
      <c r="T68" s="7">
        <f t="shared" si="46"/>
        <v>45620</v>
      </c>
      <c r="U68" s="6">
        <f t="shared" si="47"/>
        <v>0</v>
      </c>
      <c r="V68">
        <f>COUNTIFS('2024 - L&amp;G R64 - Test Instances'!H:H,B68,'2024 - L&amp;G R64 - Test Instances'!L:L,$V$2,'2024 - L&amp;G R64 - Test Instances'!O:O,"Done")</f>
        <v>0</v>
      </c>
      <c r="W68">
        <f>COUNTIFS('2024 - L&amp;G R64 - Test Instances'!H:H,B68,'2024 - L&amp;G R64 - Test Instances'!L:L,$W$2,'2024 - L&amp;G R64 - Test Instances'!O:O,"Done")</f>
        <v>0</v>
      </c>
      <c r="X68">
        <f>COUNTIFS('2024 - L&amp;G R64 - Test Instances'!H:H,B68,'2024 - L&amp;G R64 - Test Instances'!L:L,$X$2,'2024 - L&amp;G R64 - Test Instances'!O:O,"Done")</f>
        <v>0</v>
      </c>
      <c r="Y68" s="27">
        <v>8</v>
      </c>
      <c r="Z68" s="29">
        <f ca="1">IF(B68&gt;TODAY(),"",SUM($V$3:V68)/SUM($D$3:D68))</f>
        <v>7.5882352941176467</v>
      </c>
      <c r="AA68" s="29">
        <f ca="1">IF(B68&gt;TODAY(),"",SUM($W$3:W68)/SUM($E$3:E68))</f>
        <v>12.111111111111111</v>
      </c>
      <c r="AB68" s="29" t="e">
        <f ca="1">IF(B68&gt;TODAY(),"",SUM($X$3:X68)/SUM($F$3:F68))</f>
        <v>#DIV/0!</v>
      </c>
      <c r="AC68" s="27"/>
      <c r="AD68" s="7">
        <f t="shared" si="48"/>
        <v>45620</v>
      </c>
      <c r="AE68" s="29">
        <f t="shared" si="49"/>
        <v>0</v>
      </c>
      <c r="AF68" s="37">
        <f t="shared" si="50"/>
        <v>0</v>
      </c>
      <c r="AG68" s="29">
        <f t="shared" ca="1" si="51"/>
        <v>19.699346405228759</v>
      </c>
      <c r="AH68" s="27"/>
      <c r="AI68" s="7">
        <f t="shared" si="52"/>
        <v>45620</v>
      </c>
      <c r="AJ68" s="15">
        <f t="shared" si="19"/>
        <v>-366</v>
      </c>
      <c r="AK68" s="15">
        <f t="shared" ref="AK68:AK96" ca="1" si="59">IF(B68&gt;TODAY(),"",AK67-AF68)</f>
        <v>32</v>
      </c>
      <c r="AL68" s="27"/>
      <c r="AM68" s="11">
        <f t="shared" si="53"/>
        <v>45620</v>
      </c>
      <c r="AN68" s="28">
        <f t="shared" ca="1" si="41"/>
        <v>0</v>
      </c>
      <c r="AO68" s="28" t="e">
        <f t="shared" ca="1" si="42"/>
        <v>#DIV/0!</v>
      </c>
      <c r="AP68">
        <f t="shared" si="54"/>
        <v>0</v>
      </c>
      <c r="AQ68" s="11">
        <f t="shared" ca="1" si="23"/>
        <v>45612.2</v>
      </c>
      <c r="AR68" s="29">
        <f ca="1">AK68/(NETWORKDAYS(B68,$AU$1,Days!$A$11:$A$25)-1)</f>
        <v>-1.1851851851851851</v>
      </c>
      <c r="AS68" s="29">
        <f t="shared" ref="AS68:AS96" ca="1" si="60">AR68/((RIGHT($AR$1,1)*1))</f>
        <v>-0.59259259259259256</v>
      </c>
      <c r="AT68" s="27"/>
      <c r="AV68" s="10">
        <f t="shared" si="55"/>
        <v>0</v>
      </c>
      <c r="AW68" s="10">
        <f t="shared" si="56"/>
        <v>0</v>
      </c>
      <c r="AX68" s="10">
        <f t="shared" si="57"/>
        <v>0</v>
      </c>
      <c r="AY68" s="7">
        <f t="shared" si="58"/>
        <v>45620</v>
      </c>
      <c r="AZ68">
        <f ca="1">IF(B68&gt;TODAY(),"",SUM($V$3:V68)/SUM($AV$3:AV68))</f>
        <v>7.5882352941176467</v>
      </c>
      <c r="BA68">
        <f ca="1">IF(B68&gt;TODAY(),"",SUM($W$3:W68)/SUM($AW$3:AW68))</f>
        <v>12.823529411764707</v>
      </c>
      <c r="BB68" t="e">
        <f ca="1">IF(B68&gt;TODAY(),"",SUM($X$3:X68)/SUM($AX$3:AX68))</f>
        <v>#DIV/0!</v>
      </c>
    </row>
    <row r="69" spans="1:54" x14ac:dyDescent="0.25">
      <c r="A69" s="6" t="str">
        <f>VLOOKUP(WEEKDAY(B69,2),Days!$A$1:$B$7,2,0)</f>
        <v>Mon</v>
      </c>
      <c r="B69" s="7">
        <f t="shared" ref="B69:B96" si="61">B68+1</f>
        <v>45621</v>
      </c>
      <c r="C69" s="6">
        <f>IF(AND(A69&lt;&gt;"Sat",A69&lt;&gt;"Sun",ISERROR(VLOOKUP(B69,Days!$A$10:$A$38,1,0))),1,(IF(AF69&lt;&gt;0,1,0)))</f>
        <v>1</v>
      </c>
      <c r="D69" s="10"/>
      <c r="E69" s="10"/>
      <c r="F69" s="10"/>
      <c r="G69" s="27"/>
      <c r="H69" s="10">
        <v>1</v>
      </c>
      <c r="I69" s="10">
        <v>1</v>
      </c>
      <c r="J69" s="10">
        <v>0</v>
      </c>
      <c r="K69" s="27"/>
      <c r="L69">
        <f>$C69*H69*Days!$F$1</f>
        <v>8</v>
      </c>
      <c r="M69">
        <f>$C69*I69*Days!$F$1</f>
        <v>8</v>
      </c>
      <c r="N69">
        <f>$C69*J69*Days!$F$1</f>
        <v>0</v>
      </c>
      <c r="O69" s="27"/>
      <c r="P69">
        <f t="shared" ca="1" si="43"/>
        <v>-8</v>
      </c>
      <c r="Q69">
        <f t="shared" ca="1" si="44"/>
        <v>-8</v>
      </c>
      <c r="R69">
        <f t="shared" ca="1" si="45"/>
        <v>0</v>
      </c>
      <c r="S69" s="27"/>
      <c r="T69" s="7">
        <f t="shared" si="46"/>
        <v>45621</v>
      </c>
      <c r="U69" s="6">
        <f t="shared" si="47"/>
        <v>1</v>
      </c>
      <c r="V69">
        <f>COUNTIFS('2024 - L&amp;G R64 - Test Instances'!H:H,B69,'2024 - L&amp;G R64 - Test Instances'!L:L,$V$2,'2024 - L&amp;G R64 - Test Instances'!O:O,"Done")</f>
        <v>0</v>
      </c>
      <c r="W69">
        <f>COUNTIFS('2024 - L&amp;G R64 - Test Instances'!H:H,B69,'2024 - L&amp;G R64 - Test Instances'!L:L,$W$2,'2024 - L&amp;G R64 - Test Instances'!O:O,"Done")</f>
        <v>0</v>
      </c>
      <c r="X69">
        <f>COUNTIFS('2024 - L&amp;G R64 - Test Instances'!H:H,B69,'2024 - L&amp;G R64 - Test Instances'!L:L,$X$2,'2024 - L&amp;G R64 - Test Instances'!O:O,"Done")</f>
        <v>0</v>
      </c>
      <c r="Y69" s="27">
        <v>8</v>
      </c>
      <c r="Z69" s="29">
        <f ca="1">IF(B69&gt;TODAY(),"",SUM($V$3:V69)/SUM($D$3:D69))</f>
        <v>7.5882352941176467</v>
      </c>
      <c r="AA69" s="29">
        <f ca="1">IF(B69&gt;TODAY(),"",SUM($W$3:W69)/SUM($E$3:E69))</f>
        <v>12.111111111111111</v>
      </c>
      <c r="AB69" s="29" t="e">
        <f ca="1">IF(B69&gt;TODAY(),"",SUM($X$3:X69)/SUM($F$3:F69))</f>
        <v>#DIV/0!</v>
      </c>
      <c r="AC69" s="27"/>
      <c r="AD69" s="7">
        <f t="shared" si="48"/>
        <v>45621</v>
      </c>
      <c r="AE69" s="29">
        <f t="shared" si="49"/>
        <v>16</v>
      </c>
      <c r="AF69" s="37">
        <f t="shared" si="50"/>
        <v>0</v>
      </c>
      <c r="AG69" s="29">
        <f t="shared" ca="1" si="51"/>
        <v>19.699346405228759</v>
      </c>
      <c r="AH69" s="27"/>
      <c r="AI69" s="7">
        <f t="shared" si="52"/>
        <v>45621</v>
      </c>
      <c r="AJ69" s="15">
        <f t="shared" ref="AJ69:AJ96" si="62">AJ68-AE69</f>
        <v>-382</v>
      </c>
      <c r="AK69" s="15">
        <f t="shared" ca="1" si="59"/>
        <v>32</v>
      </c>
      <c r="AL69" s="27"/>
      <c r="AM69" s="11">
        <f t="shared" si="53"/>
        <v>45621</v>
      </c>
      <c r="AN69" s="28">
        <f t="shared" ca="1" si="41"/>
        <v>0</v>
      </c>
      <c r="AO69" s="28" t="e">
        <f t="shared" ca="1" si="42"/>
        <v>#DIV/0!</v>
      </c>
      <c r="AP69">
        <f t="shared" si="54"/>
        <v>0</v>
      </c>
      <c r="AQ69" s="11">
        <f t="shared" ca="1" si="23"/>
        <v>45612.2</v>
      </c>
      <c r="AR69" s="29">
        <f ca="1">AK69/(NETWORKDAYS(B69,$AU$1,Days!$A$11:$A$25)-1)</f>
        <v>-1.1428571428571428</v>
      </c>
      <c r="AS69" s="29">
        <f t="shared" ca="1" si="60"/>
        <v>-0.5714285714285714</v>
      </c>
      <c r="AT69" s="27"/>
      <c r="AV69" s="10">
        <f t="shared" si="55"/>
        <v>0</v>
      </c>
      <c r="AW69" s="10">
        <f t="shared" si="56"/>
        <v>0</v>
      </c>
      <c r="AX69" s="10">
        <f t="shared" si="57"/>
        <v>0</v>
      </c>
      <c r="AY69" s="7">
        <f t="shared" si="58"/>
        <v>45621</v>
      </c>
      <c r="AZ69">
        <f ca="1">IF(B69&gt;TODAY(),"",SUM($V$3:V69)/SUM($AV$3:AV69))</f>
        <v>7.5882352941176467</v>
      </c>
      <c r="BA69">
        <f ca="1">IF(B69&gt;TODAY(),"",SUM($W$3:W69)/SUM($AW$3:AW69))</f>
        <v>12.823529411764707</v>
      </c>
      <c r="BB69" t="e">
        <f ca="1">IF(B69&gt;TODAY(),"",SUM($X$3:X69)/SUM($AX$3:AX69))</f>
        <v>#DIV/0!</v>
      </c>
    </row>
    <row r="70" spans="1:54" x14ac:dyDescent="0.25">
      <c r="A70" s="6" t="str">
        <f>VLOOKUP(WEEKDAY(B70,2),Days!$A$1:$B$7,2,0)</f>
        <v>Tue</v>
      </c>
      <c r="B70" s="7">
        <f t="shared" si="61"/>
        <v>45622</v>
      </c>
      <c r="C70" s="6">
        <f>IF(AND(A70&lt;&gt;"Sat",A70&lt;&gt;"Sun",ISERROR(VLOOKUP(B70,Days!$A$10:$A$38,1,0))),1,(IF(AF70&lt;&gt;0,1,0)))</f>
        <v>1</v>
      </c>
      <c r="D70" s="10"/>
      <c r="E70" s="10"/>
      <c r="F70" s="10"/>
      <c r="G70" s="27"/>
      <c r="H70" s="10">
        <v>1</v>
      </c>
      <c r="I70" s="10">
        <v>1</v>
      </c>
      <c r="J70" s="10">
        <v>0</v>
      </c>
      <c r="K70" s="27"/>
      <c r="L70">
        <f>$C70*H70*Days!$F$1</f>
        <v>8</v>
      </c>
      <c r="M70">
        <f>$C70*I70*Days!$F$1</f>
        <v>8</v>
      </c>
      <c r="N70">
        <f>$C70*J70*Days!$F$1</f>
        <v>0</v>
      </c>
      <c r="O70" s="27"/>
      <c r="P70">
        <f t="shared" ca="1" si="43"/>
        <v>-8</v>
      </c>
      <c r="Q70">
        <f t="shared" ca="1" si="44"/>
        <v>-8</v>
      </c>
      <c r="R70">
        <f t="shared" ca="1" si="45"/>
        <v>0</v>
      </c>
      <c r="S70" s="27"/>
      <c r="T70" s="7">
        <f t="shared" si="46"/>
        <v>45622</v>
      </c>
      <c r="U70" s="6">
        <f t="shared" si="47"/>
        <v>1</v>
      </c>
      <c r="V70">
        <f>COUNTIFS('2024 - L&amp;G R64 - Test Instances'!H:H,B70,'2024 - L&amp;G R64 - Test Instances'!L:L,$V$2,'2024 - L&amp;G R64 - Test Instances'!O:O,"Done")</f>
        <v>0</v>
      </c>
      <c r="W70">
        <f>COUNTIFS('2024 - L&amp;G R64 - Test Instances'!H:H,B70,'2024 - L&amp;G R64 - Test Instances'!L:L,$W$2,'2024 - L&amp;G R64 - Test Instances'!O:O,"Done")</f>
        <v>0</v>
      </c>
      <c r="X70">
        <f>COUNTIFS('2024 - L&amp;G R64 - Test Instances'!H:H,B70,'2024 - L&amp;G R64 - Test Instances'!L:L,$X$2,'2024 - L&amp;G R64 - Test Instances'!O:O,"Done")</f>
        <v>0</v>
      </c>
      <c r="Y70" s="27">
        <v>8</v>
      </c>
      <c r="Z70" s="29">
        <f ca="1">IF(B70&gt;TODAY(),"",SUM($V$3:V70)/SUM($D$3:D70))</f>
        <v>7.5882352941176467</v>
      </c>
      <c r="AA70" s="29">
        <f ca="1">IF(B70&gt;TODAY(),"",SUM($W$3:W70)/SUM($E$3:E70))</f>
        <v>12.111111111111111</v>
      </c>
      <c r="AB70" s="29" t="e">
        <f ca="1">IF(B70&gt;TODAY(),"",SUM($X$3:X70)/SUM($F$3:F70))</f>
        <v>#DIV/0!</v>
      </c>
      <c r="AC70" s="27"/>
      <c r="AD70" s="7">
        <f t="shared" si="48"/>
        <v>45622</v>
      </c>
      <c r="AE70" s="29">
        <f t="shared" si="49"/>
        <v>16</v>
      </c>
      <c r="AF70" s="37">
        <f t="shared" si="50"/>
        <v>0</v>
      </c>
      <c r="AG70" s="29">
        <f t="shared" ca="1" si="51"/>
        <v>19.699346405228759</v>
      </c>
      <c r="AH70" s="27"/>
      <c r="AI70" s="7">
        <f t="shared" si="52"/>
        <v>45622</v>
      </c>
      <c r="AJ70" s="15">
        <f t="shared" si="62"/>
        <v>-398</v>
      </c>
      <c r="AK70" s="15">
        <f t="shared" ca="1" si="59"/>
        <v>32</v>
      </c>
      <c r="AL70" s="27"/>
      <c r="AM70" s="11">
        <f t="shared" si="53"/>
        <v>45622</v>
      </c>
      <c r="AN70" s="28">
        <f t="shared" ca="1" si="41"/>
        <v>0</v>
      </c>
      <c r="AO70" s="28" t="e">
        <f t="shared" ca="1" si="42"/>
        <v>#DIV/0!</v>
      </c>
      <c r="AP70">
        <f t="shared" si="54"/>
        <v>0</v>
      </c>
      <c r="AQ70" s="11">
        <f t="shared" ca="1" si="23"/>
        <v>45612.2</v>
      </c>
      <c r="AR70" s="29">
        <f ca="1">AK70/(NETWORKDAYS(B70,$AU$1,Days!$A$11:$A$25)-1)</f>
        <v>-1.103448275862069</v>
      </c>
      <c r="AS70" s="29">
        <f t="shared" ca="1" si="60"/>
        <v>-0.55172413793103448</v>
      </c>
      <c r="AT70" s="27"/>
      <c r="AV70" s="10">
        <f t="shared" si="55"/>
        <v>0</v>
      </c>
      <c r="AW70" s="10">
        <f t="shared" si="56"/>
        <v>0</v>
      </c>
      <c r="AX70" s="10">
        <f t="shared" si="57"/>
        <v>0</v>
      </c>
      <c r="AY70" s="7">
        <f t="shared" si="58"/>
        <v>45622</v>
      </c>
      <c r="AZ70">
        <f ca="1">IF(B70&gt;TODAY(),"",SUM($V$3:V70)/SUM($AV$3:AV70))</f>
        <v>7.5882352941176467</v>
      </c>
      <c r="BA70">
        <f ca="1">IF(B70&gt;TODAY(),"",SUM($W$3:W70)/SUM($AW$3:AW70))</f>
        <v>12.823529411764707</v>
      </c>
      <c r="BB70" t="e">
        <f ca="1">IF(B70&gt;TODAY(),"",SUM($X$3:X70)/SUM($AX$3:AX70))</f>
        <v>#DIV/0!</v>
      </c>
    </row>
    <row r="71" spans="1:54" x14ac:dyDescent="0.25">
      <c r="A71" s="6" t="str">
        <f>VLOOKUP(WEEKDAY(B71,2),Days!$A$1:$B$7,2,0)</f>
        <v>Wed</v>
      </c>
      <c r="B71" s="7">
        <f t="shared" si="61"/>
        <v>45623</v>
      </c>
      <c r="C71" s="6">
        <f>IF(AND(A71&lt;&gt;"Sat",A71&lt;&gt;"Sun",ISERROR(VLOOKUP(B71,Days!$A$10:$A$38,1,0))),1,(IF(AF71&lt;&gt;0,1,0)))</f>
        <v>1</v>
      </c>
      <c r="D71" s="10"/>
      <c r="E71" s="10"/>
      <c r="F71" s="10"/>
      <c r="G71" s="27"/>
      <c r="H71" s="10">
        <v>1</v>
      </c>
      <c r="I71" s="10">
        <v>1</v>
      </c>
      <c r="J71" s="10">
        <v>0</v>
      </c>
      <c r="K71" s="27"/>
      <c r="L71">
        <f>$C71*H71*Days!$F$1</f>
        <v>8</v>
      </c>
      <c r="M71">
        <f>$C71*I71*Days!$F$1</f>
        <v>8</v>
      </c>
      <c r="N71">
        <f>$C71*J71*Days!$F$1</f>
        <v>0</v>
      </c>
      <c r="O71" s="27"/>
      <c r="P71">
        <f t="shared" ca="1" si="43"/>
        <v>-8</v>
      </c>
      <c r="Q71">
        <f t="shared" ca="1" si="44"/>
        <v>-8</v>
      </c>
      <c r="R71">
        <f t="shared" ca="1" si="45"/>
        <v>0</v>
      </c>
      <c r="S71" s="27"/>
      <c r="T71" s="7">
        <f t="shared" si="46"/>
        <v>45623</v>
      </c>
      <c r="U71" s="6">
        <f t="shared" si="47"/>
        <v>1</v>
      </c>
      <c r="V71">
        <f>COUNTIFS('2024 - L&amp;G R64 - Test Instances'!H:H,B71,'2024 - L&amp;G R64 - Test Instances'!L:L,$V$2,'2024 - L&amp;G R64 - Test Instances'!O:O,"Done")</f>
        <v>0</v>
      </c>
      <c r="W71">
        <f>COUNTIFS('2024 - L&amp;G R64 - Test Instances'!H:H,B71,'2024 - L&amp;G R64 - Test Instances'!L:L,$W$2,'2024 - L&amp;G R64 - Test Instances'!O:O,"Done")</f>
        <v>0</v>
      </c>
      <c r="X71">
        <f>COUNTIFS('2024 - L&amp;G R64 - Test Instances'!H:H,B71,'2024 - L&amp;G R64 - Test Instances'!L:L,$X$2,'2024 - L&amp;G R64 - Test Instances'!O:O,"Done")</f>
        <v>0</v>
      </c>
      <c r="Y71" s="27">
        <v>8</v>
      </c>
      <c r="Z71" s="29">
        <f ca="1">IF(B71&gt;TODAY(),"",SUM($V$3:V71)/SUM($D$3:D71))</f>
        <v>7.5882352941176467</v>
      </c>
      <c r="AA71" s="29">
        <f ca="1">IF(B71&gt;TODAY(),"",SUM($W$3:W71)/SUM($E$3:E71))</f>
        <v>12.111111111111111</v>
      </c>
      <c r="AB71" s="29" t="e">
        <f ca="1">IF(B71&gt;TODAY(),"",SUM($X$3:X71)/SUM($F$3:F71))</f>
        <v>#DIV/0!</v>
      </c>
      <c r="AC71" s="27"/>
      <c r="AD71" s="7">
        <f t="shared" si="48"/>
        <v>45623</v>
      </c>
      <c r="AE71" s="29">
        <f t="shared" si="49"/>
        <v>16</v>
      </c>
      <c r="AF71" s="37">
        <f t="shared" si="50"/>
        <v>0</v>
      </c>
      <c r="AG71" s="29">
        <f t="shared" ca="1" si="51"/>
        <v>19.699346405228759</v>
      </c>
      <c r="AH71" s="27"/>
      <c r="AI71" s="7">
        <f t="shared" si="52"/>
        <v>45623</v>
      </c>
      <c r="AJ71" s="15">
        <f t="shared" si="62"/>
        <v>-414</v>
      </c>
      <c r="AK71" s="15">
        <f t="shared" ca="1" si="59"/>
        <v>32</v>
      </c>
      <c r="AL71" s="27"/>
      <c r="AM71" s="11">
        <f t="shared" si="53"/>
        <v>45623</v>
      </c>
      <c r="AN71" s="28">
        <f t="shared" ref="AN71:AN96" ca="1" si="63">IF(B71&gt;TODAY(),0,SUM(AF67:AF71)/SUM(C67:C71))</f>
        <v>0</v>
      </c>
      <c r="AO71" s="28" t="e">
        <f t="shared" ref="AO71:AO96" ca="1" si="64">IF(B71&gt;TODAY(),0,SUM(AF67:AF71)/SUM(D67:F71))</f>
        <v>#DIV/0!</v>
      </c>
      <c r="AP71">
        <f t="shared" si="54"/>
        <v>0</v>
      </c>
      <c r="AQ71" s="11">
        <f t="shared" ca="1" si="23"/>
        <v>45612.2</v>
      </c>
      <c r="AR71" s="29">
        <f ca="1">AK71/(NETWORKDAYS(B71,$AU$1,Days!$A$11:$A$25)-1)</f>
        <v>-1.0666666666666667</v>
      </c>
      <c r="AS71" s="29">
        <f t="shared" ca="1" si="60"/>
        <v>-0.53333333333333333</v>
      </c>
      <c r="AT71" s="27"/>
      <c r="AV71" s="10">
        <f t="shared" si="55"/>
        <v>0</v>
      </c>
      <c r="AW71" s="10">
        <f t="shared" si="56"/>
        <v>0</v>
      </c>
      <c r="AX71" s="10">
        <f t="shared" si="57"/>
        <v>0</v>
      </c>
      <c r="AY71" s="7">
        <f t="shared" si="58"/>
        <v>45623</v>
      </c>
      <c r="AZ71">
        <f ca="1">IF(B71&gt;TODAY(),"",SUM($V$3:V71)/SUM($AV$3:AV71))</f>
        <v>7.5882352941176467</v>
      </c>
      <c r="BA71">
        <f ca="1">IF(B71&gt;TODAY(),"",SUM($W$3:W71)/SUM($AW$3:AW71))</f>
        <v>12.823529411764707</v>
      </c>
      <c r="BB71" t="e">
        <f ca="1">IF(B71&gt;TODAY(),"",SUM($X$3:X71)/SUM($AX$3:AX71))</f>
        <v>#DIV/0!</v>
      </c>
    </row>
    <row r="72" spans="1:54" x14ac:dyDescent="0.25">
      <c r="A72" s="6" t="str">
        <f>VLOOKUP(WEEKDAY(B72,2),Days!$A$1:$B$7,2,0)</f>
        <v>Thu</v>
      </c>
      <c r="B72" s="7">
        <f t="shared" si="61"/>
        <v>45624</v>
      </c>
      <c r="C72" s="6">
        <f>IF(AND(A72&lt;&gt;"Sat",A72&lt;&gt;"Sun",ISERROR(VLOOKUP(B72,Days!$A$10:$A$38,1,0))),1,(IF(AF72&lt;&gt;0,1,0)))</f>
        <v>1</v>
      </c>
      <c r="D72" s="10"/>
      <c r="E72" s="10"/>
      <c r="F72" s="10"/>
      <c r="G72" s="27"/>
      <c r="H72" s="10">
        <v>1</v>
      </c>
      <c r="I72" s="10">
        <v>1</v>
      </c>
      <c r="J72" s="10">
        <v>0</v>
      </c>
      <c r="K72" s="27"/>
      <c r="L72">
        <f>$C72*H72*Days!$F$1</f>
        <v>8</v>
      </c>
      <c r="M72">
        <f>$C72*I72*Days!$F$1</f>
        <v>8</v>
      </c>
      <c r="N72">
        <f>$C72*J72*Days!$F$1</f>
        <v>0</v>
      </c>
      <c r="O72" s="27"/>
      <c r="P72">
        <f t="shared" ca="1" si="43"/>
        <v>0</v>
      </c>
      <c r="Q72">
        <f t="shared" ca="1" si="44"/>
        <v>0</v>
      </c>
      <c r="R72">
        <f t="shared" ca="1" si="45"/>
        <v>0</v>
      </c>
      <c r="S72" s="27"/>
      <c r="T72" s="7">
        <f t="shared" si="46"/>
        <v>45624</v>
      </c>
      <c r="U72" s="6">
        <f t="shared" si="47"/>
        <v>1</v>
      </c>
      <c r="V72">
        <f>COUNTIFS('2024 - L&amp;G R64 - Test Instances'!H:H,B72,'2024 - L&amp;G R64 - Test Instances'!L:L,$V$2,'2024 - L&amp;G R64 - Test Instances'!O:O,"Done")</f>
        <v>0</v>
      </c>
      <c r="W72">
        <f>COUNTIFS('2024 - L&amp;G R64 - Test Instances'!H:H,B72,'2024 - L&amp;G R64 - Test Instances'!L:L,$W$2,'2024 - L&amp;G R64 - Test Instances'!O:O,"Done")</f>
        <v>0</v>
      </c>
      <c r="X72">
        <f>COUNTIFS('2024 - L&amp;G R64 - Test Instances'!H:H,B72,'2024 - L&amp;G R64 - Test Instances'!L:L,$X$2,'2024 - L&amp;G R64 - Test Instances'!O:O,"Done")</f>
        <v>0</v>
      </c>
      <c r="Y72" s="27">
        <v>8</v>
      </c>
      <c r="Z72" s="29" t="str">
        <f ca="1">IF(B72&gt;TODAY(),"",SUM($V$3:V72)/SUM($D$3:D72))</f>
        <v/>
      </c>
      <c r="AA72" s="29" t="str">
        <f ca="1">IF(B72&gt;TODAY(),"",SUM($W$3:W72)/SUM($E$3:E72))</f>
        <v/>
      </c>
      <c r="AB72" s="29" t="str">
        <f ca="1">IF(B72&gt;TODAY(),"",SUM($X$3:X72)/SUM($F$3:F72))</f>
        <v/>
      </c>
      <c r="AC72" s="27"/>
      <c r="AD72" s="7">
        <f t="shared" si="48"/>
        <v>45624</v>
      </c>
      <c r="AE72" s="29">
        <f t="shared" si="49"/>
        <v>16</v>
      </c>
      <c r="AF72" s="37">
        <f t="shared" si="50"/>
        <v>0</v>
      </c>
      <c r="AG72" s="29">
        <f t="shared" ca="1" si="51"/>
        <v>0</v>
      </c>
      <c r="AH72" s="27"/>
      <c r="AI72" s="7">
        <f t="shared" si="52"/>
        <v>45624</v>
      </c>
      <c r="AJ72" s="15">
        <f t="shared" si="62"/>
        <v>-430</v>
      </c>
      <c r="AK72" s="15" t="str">
        <f t="shared" ca="1" si="59"/>
        <v/>
      </c>
      <c r="AL72" s="27"/>
      <c r="AM72" s="11">
        <f t="shared" si="53"/>
        <v>45624</v>
      </c>
      <c r="AN72" s="28">
        <f t="shared" ca="1" si="63"/>
        <v>0</v>
      </c>
      <c r="AO72" s="28">
        <f t="shared" ca="1" si="64"/>
        <v>0</v>
      </c>
      <c r="AP72">
        <f t="shared" si="54"/>
        <v>0</v>
      </c>
      <c r="AQ72" s="11">
        <f t="shared" ca="1" si="23"/>
        <v>45612.2</v>
      </c>
      <c r="AR72" s="29" t="e">
        <f ca="1">AK72/(NETWORKDAYS(B72,$AU$1,Days!$A$11:$A$25)-1)</f>
        <v>#VALUE!</v>
      </c>
      <c r="AS72" s="29" t="e">
        <f t="shared" ca="1" si="60"/>
        <v>#VALUE!</v>
      </c>
      <c r="AT72" s="27"/>
      <c r="AV72" s="10">
        <f t="shared" si="55"/>
        <v>0</v>
      </c>
      <c r="AW72" s="10">
        <f t="shared" si="56"/>
        <v>0</v>
      </c>
      <c r="AX72" s="10">
        <f t="shared" si="57"/>
        <v>0</v>
      </c>
      <c r="AY72" s="7">
        <f t="shared" si="58"/>
        <v>45624</v>
      </c>
      <c r="AZ72" t="str">
        <f ca="1">IF(B72&gt;TODAY(),"",SUM($V$3:V72)/SUM($AV$3:AV72))</f>
        <v/>
      </c>
      <c r="BA72" t="str">
        <f ca="1">IF(B72&gt;TODAY(),"",SUM($W$3:W72)/SUM($AW$3:AW72))</f>
        <v/>
      </c>
      <c r="BB72" t="str">
        <f ca="1">IF(B72&gt;TODAY(),"",SUM($X$3:X72)/SUM($AX$3:AX72))</f>
        <v/>
      </c>
    </row>
    <row r="73" spans="1:54" x14ac:dyDescent="0.25">
      <c r="A73" s="6" t="str">
        <f>VLOOKUP(WEEKDAY(B73,2),Days!$A$1:$B$7,2,0)</f>
        <v>Fri</v>
      </c>
      <c r="B73" s="7">
        <f t="shared" si="61"/>
        <v>45625</v>
      </c>
      <c r="C73" s="6">
        <f>IF(AND(A73&lt;&gt;"Sat",A73&lt;&gt;"Sun",ISERROR(VLOOKUP(B73,Days!$A$10:$A$38,1,0))),1,(IF(AF73&lt;&gt;0,1,0)))</f>
        <v>1</v>
      </c>
      <c r="D73" s="10"/>
      <c r="E73" s="10"/>
      <c r="F73" s="10"/>
      <c r="G73" s="27"/>
      <c r="H73" s="10">
        <v>1</v>
      </c>
      <c r="I73" s="10">
        <v>1</v>
      </c>
      <c r="J73" s="10">
        <v>0</v>
      </c>
      <c r="K73" s="27"/>
      <c r="L73">
        <f>$C73*H73*Days!$F$1</f>
        <v>8</v>
      </c>
      <c r="M73">
        <f>$C73*I73*Days!$F$1</f>
        <v>8</v>
      </c>
      <c r="N73">
        <f>$C73*J73*Days!$F$1</f>
        <v>0</v>
      </c>
      <c r="O73" s="27"/>
      <c r="P73">
        <f t="shared" ca="1" si="43"/>
        <v>0</v>
      </c>
      <c r="Q73">
        <f t="shared" ca="1" si="44"/>
        <v>0</v>
      </c>
      <c r="R73">
        <f t="shared" ca="1" si="45"/>
        <v>0</v>
      </c>
      <c r="S73" s="27"/>
      <c r="T73" s="7">
        <f t="shared" si="46"/>
        <v>45625</v>
      </c>
      <c r="U73" s="6">
        <f t="shared" si="47"/>
        <v>1</v>
      </c>
      <c r="V73">
        <f>COUNTIFS('2024 - L&amp;G R64 - Test Instances'!H:H,B73,'2024 - L&amp;G R64 - Test Instances'!L:L,$V$2,'2024 - L&amp;G R64 - Test Instances'!O:O,"Done")</f>
        <v>0</v>
      </c>
      <c r="W73">
        <f>COUNTIFS('2024 - L&amp;G R64 - Test Instances'!H:H,B73,'2024 - L&amp;G R64 - Test Instances'!L:L,$W$2,'2024 - L&amp;G R64 - Test Instances'!O:O,"Done")</f>
        <v>0</v>
      </c>
      <c r="X73">
        <f>COUNTIFS('2024 - L&amp;G R64 - Test Instances'!H:H,B73,'2024 - L&amp;G R64 - Test Instances'!L:L,$X$2,'2024 - L&amp;G R64 - Test Instances'!O:O,"Done")</f>
        <v>0</v>
      </c>
      <c r="Y73" s="27">
        <v>8</v>
      </c>
      <c r="Z73" s="29" t="str">
        <f ca="1">IF(B73&gt;TODAY(),"",SUM($V$3:V73)/SUM($D$3:D73))</f>
        <v/>
      </c>
      <c r="AA73" s="29" t="str">
        <f ca="1">IF(B73&gt;TODAY(),"",SUM($W$3:W73)/SUM($E$3:E73))</f>
        <v/>
      </c>
      <c r="AB73" s="29" t="str">
        <f ca="1">IF(B73&gt;TODAY(),"",SUM($X$3:X73)/SUM($F$3:F73))</f>
        <v/>
      </c>
      <c r="AC73" s="27"/>
      <c r="AD73" s="7">
        <f t="shared" si="48"/>
        <v>45625</v>
      </c>
      <c r="AE73" s="29">
        <f t="shared" si="49"/>
        <v>16</v>
      </c>
      <c r="AF73" s="37">
        <f t="shared" si="50"/>
        <v>0</v>
      </c>
      <c r="AG73" s="29">
        <f t="shared" ca="1" si="51"/>
        <v>0</v>
      </c>
      <c r="AH73" s="27"/>
      <c r="AI73" s="7">
        <f t="shared" si="52"/>
        <v>45625</v>
      </c>
      <c r="AJ73" s="15">
        <f t="shared" si="62"/>
        <v>-446</v>
      </c>
      <c r="AK73" s="15" t="str">
        <f t="shared" ca="1" si="59"/>
        <v/>
      </c>
      <c r="AL73" s="27"/>
      <c r="AM73" s="11">
        <f t="shared" si="53"/>
        <v>45625</v>
      </c>
      <c r="AN73" s="28">
        <f t="shared" ca="1" si="63"/>
        <v>0</v>
      </c>
      <c r="AO73" s="28">
        <f t="shared" ca="1" si="64"/>
        <v>0</v>
      </c>
      <c r="AP73">
        <f t="shared" si="54"/>
        <v>0</v>
      </c>
      <c r="AQ73" s="11">
        <f t="shared" ca="1" si="23"/>
        <v>45612.2</v>
      </c>
      <c r="AR73" s="29" t="e">
        <f ca="1">AK73/(NETWORKDAYS(B73,$AU$1,Days!$A$11:$A$25)-1)</f>
        <v>#VALUE!</v>
      </c>
      <c r="AS73" s="29" t="e">
        <f t="shared" ca="1" si="60"/>
        <v>#VALUE!</v>
      </c>
      <c r="AT73" s="27"/>
      <c r="AV73" s="10">
        <f t="shared" si="55"/>
        <v>0</v>
      </c>
      <c r="AW73" s="10">
        <f t="shared" si="56"/>
        <v>0</v>
      </c>
      <c r="AX73" s="10">
        <f t="shared" si="57"/>
        <v>0</v>
      </c>
      <c r="AY73" s="7">
        <f t="shared" si="58"/>
        <v>45625</v>
      </c>
      <c r="AZ73" t="str">
        <f ca="1">IF(B73&gt;TODAY(),"",SUM($V$3:V73)/SUM($AV$3:AV73))</f>
        <v/>
      </c>
      <c r="BA73" t="str">
        <f ca="1">IF(B73&gt;TODAY(),"",SUM($W$3:W73)/SUM($AW$3:AW73))</f>
        <v/>
      </c>
      <c r="BB73" t="str">
        <f ca="1">IF(B73&gt;TODAY(),"",SUM($X$3:X73)/SUM($AX$3:AX73))</f>
        <v/>
      </c>
    </row>
    <row r="74" spans="1:54" x14ac:dyDescent="0.25">
      <c r="A74" s="6" t="str">
        <f>VLOOKUP(WEEKDAY(B74,2),Days!$A$1:$B$7,2,0)</f>
        <v>Sat</v>
      </c>
      <c r="B74" s="7">
        <f t="shared" si="61"/>
        <v>45626</v>
      </c>
      <c r="C74" s="6">
        <f>IF(AND(A74&lt;&gt;"Sat",A74&lt;&gt;"Sun",ISERROR(VLOOKUP(B74,Days!$A$10:$A$38,1,0))),1,(IF(AF74&lt;&gt;0,1,0)))</f>
        <v>0</v>
      </c>
      <c r="D74" s="10"/>
      <c r="E74" s="10"/>
      <c r="F74" s="10"/>
      <c r="G74" s="27"/>
      <c r="H74" s="10">
        <v>0</v>
      </c>
      <c r="I74" s="10">
        <v>0</v>
      </c>
      <c r="J74" s="10">
        <v>0</v>
      </c>
      <c r="K74" s="27"/>
      <c r="L74">
        <f>$C74*H74*Days!$F$1</f>
        <v>0</v>
      </c>
      <c r="M74">
        <f>$C74*I74*Days!$F$1</f>
        <v>0</v>
      </c>
      <c r="N74">
        <f>$C74*J74*Days!$F$1</f>
        <v>0</v>
      </c>
      <c r="O74" s="27"/>
      <c r="P74">
        <f t="shared" ca="1" si="43"/>
        <v>0</v>
      </c>
      <c r="Q74">
        <f t="shared" ca="1" si="44"/>
        <v>0</v>
      </c>
      <c r="R74">
        <f t="shared" ca="1" si="45"/>
        <v>0</v>
      </c>
      <c r="S74" s="27"/>
      <c r="T74" s="7">
        <f t="shared" si="46"/>
        <v>45626</v>
      </c>
      <c r="U74" s="6">
        <f t="shared" si="47"/>
        <v>0</v>
      </c>
      <c r="V74">
        <f>COUNTIFS('2024 - L&amp;G R64 - Test Instances'!H:H,B74,'2024 - L&amp;G R64 - Test Instances'!L:L,$V$2,'2024 - L&amp;G R64 - Test Instances'!O:O,"Done")</f>
        <v>0</v>
      </c>
      <c r="W74">
        <f>COUNTIFS('2024 - L&amp;G R64 - Test Instances'!H:H,B74,'2024 - L&amp;G R64 - Test Instances'!L:L,$W$2,'2024 - L&amp;G R64 - Test Instances'!O:O,"Done")</f>
        <v>0</v>
      </c>
      <c r="X74">
        <f>COUNTIFS('2024 - L&amp;G R64 - Test Instances'!H:H,B74,'2024 - L&amp;G R64 - Test Instances'!L:L,$X$2,'2024 - L&amp;G R64 - Test Instances'!O:O,"Done")</f>
        <v>0</v>
      </c>
      <c r="Y74" s="27">
        <v>8</v>
      </c>
      <c r="Z74" s="29" t="str">
        <f ca="1">IF(B74&gt;TODAY(),"",SUM($V$3:V74)/SUM($D$3:D74))</f>
        <v/>
      </c>
      <c r="AA74" s="29" t="str">
        <f ca="1">IF(B74&gt;TODAY(),"",SUM($W$3:W74)/SUM($E$3:E74))</f>
        <v/>
      </c>
      <c r="AB74" s="29" t="str">
        <f ca="1">IF(B74&gt;TODAY(),"",SUM($X$3:X74)/SUM($F$3:F74))</f>
        <v/>
      </c>
      <c r="AC74" s="27"/>
      <c r="AD74" s="7">
        <f t="shared" si="48"/>
        <v>45626</v>
      </c>
      <c r="AE74" s="29">
        <f t="shared" si="49"/>
        <v>0</v>
      </c>
      <c r="AF74" s="37">
        <f t="shared" si="50"/>
        <v>0</v>
      </c>
      <c r="AG74" s="29">
        <f t="shared" ca="1" si="51"/>
        <v>0</v>
      </c>
      <c r="AH74" s="27"/>
      <c r="AI74" s="7">
        <f t="shared" si="52"/>
        <v>45626</v>
      </c>
      <c r="AJ74" s="15">
        <f t="shared" si="62"/>
        <v>-446</v>
      </c>
      <c r="AK74" s="15" t="str">
        <f t="shared" ca="1" si="59"/>
        <v/>
      </c>
      <c r="AL74" s="27"/>
      <c r="AM74" s="11">
        <f t="shared" si="53"/>
        <v>45626</v>
      </c>
      <c r="AN74" s="28">
        <f t="shared" ca="1" si="63"/>
        <v>0</v>
      </c>
      <c r="AO74" s="28">
        <f t="shared" ca="1" si="64"/>
        <v>0</v>
      </c>
      <c r="AP74">
        <f t="shared" si="54"/>
        <v>0</v>
      </c>
      <c r="AQ74" s="11">
        <f t="shared" ca="1" si="23"/>
        <v>45612.2</v>
      </c>
      <c r="AR74" s="29" t="e">
        <f ca="1">AK74/(NETWORKDAYS(B74,$AU$1,Days!$A$11:$A$25)-1)</f>
        <v>#VALUE!</v>
      </c>
      <c r="AS74" s="29" t="e">
        <f t="shared" ca="1" si="60"/>
        <v>#VALUE!</v>
      </c>
      <c r="AT74" s="27"/>
      <c r="AV74" s="10">
        <f t="shared" si="55"/>
        <v>0</v>
      </c>
      <c r="AW74" s="10">
        <f t="shared" si="56"/>
        <v>0</v>
      </c>
      <c r="AX74" s="10">
        <f t="shared" si="57"/>
        <v>0</v>
      </c>
      <c r="AY74" s="7">
        <f t="shared" si="58"/>
        <v>45626</v>
      </c>
      <c r="AZ74" t="str">
        <f ca="1">IF(B74&gt;TODAY(),"",SUM($V$3:V74)/SUM($AV$3:AV74))</f>
        <v/>
      </c>
      <c r="BA74" t="str">
        <f ca="1">IF(B74&gt;TODAY(),"",SUM($W$3:W74)/SUM($AW$3:AW74))</f>
        <v/>
      </c>
      <c r="BB74" t="str">
        <f ca="1">IF(B74&gt;TODAY(),"",SUM($X$3:X74)/SUM($AX$3:AX74))</f>
        <v/>
      </c>
    </row>
    <row r="75" spans="1:54" x14ac:dyDescent="0.25">
      <c r="A75" s="6" t="str">
        <f>VLOOKUP(WEEKDAY(B75,2),Days!$A$1:$B$7,2,0)</f>
        <v>Sun</v>
      </c>
      <c r="B75" s="7">
        <f t="shared" si="61"/>
        <v>45627</v>
      </c>
      <c r="C75" s="6">
        <f>IF(AND(A75&lt;&gt;"Sat",A75&lt;&gt;"Sun",ISERROR(VLOOKUP(B75,Days!$A$10:$A$38,1,0))),1,(IF(AF75&lt;&gt;0,1,0)))</f>
        <v>0</v>
      </c>
      <c r="D75" s="10"/>
      <c r="E75" s="10"/>
      <c r="F75" s="10"/>
      <c r="G75" s="27"/>
      <c r="H75" s="10">
        <v>0</v>
      </c>
      <c r="I75" s="10">
        <v>0</v>
      </c>
      <c r="J75" s="10">
        <v>0</v>
      </c>
      <c r="K75" s="27"/>
      <c r="L75">
        <f>$C75*H75*Days!$F$1</f>
        <v>0</v>
      </c>
      <c r="M75">
        <f>$C75*I75*Days!$F$1</f>
        <v>0</v>
      </c>
      <c r="N75">
        <f>$C75*J75*Days!$F$1</f>
        <v>0</v>
      </c>
      <c r="O75" s="27"/>
      <c r="P75">
        <f t="shared" ca="1" si="43"/>
        <v>0</v>
      </c>
      <c r="Q75">
        <f t="shared" ca="1" si="44"/>
        <v>0</v>
      </c>
      <c r="R75">
        <f t="shared" ca="1" si="45"/>
        <v>0</v>
      </c>
      <c r="S75" s="27"/>
      <c r="T75" s="7">
        <f t="shared" si="46"/>
        <v>45627</v>
      </c>
      <c r="U75" s="6">
        <f t="shared" si="47"/>
        <v>0</v>
      </c>
      <c r="V75">
        <f>COUNTIFS('2024 - L&amp;G R64 - Test Instances'!H:H,B75,'2024 - L&amp;G R64 - Test Instances'!L:L,$V$2,'2024 - L&amp;G R64 - Test Instances'!O:O,"Done")</f>
        <v>0</v>
      </c>
      <c r="W75">
        <f>COUNTIFS('2024 - L&amp;G R64 - Test Instances'!H:H,B75,'2024 - L&amp;G R64 - Test Instances'!L:L,$W$2,'2024 - L&amp;G R64 - Test Instances'!O:O,"Done")</f>
        <v>0</v>
      </c>
      <c r="X75">
        <f>COUNTIFS('2024 - L&amp;G R64 - Test Instances'!H:H,B75,'2024 - L&amp;G R64 - Test Instances'!L:L,$X$2,'2024 - L&amp;G R64 - Test Instances'!O:O,"Done")</f>
        <v>0</v>
      </c>
      <c r="Y75" s="27">
        <v>8</v>
      </c>
      <c r="Z75" s="29" t="str">
        <f ca="1">IF(B75&gt;TODAY(),"",SUM($V$3:V75)/SUM($D$3:D75))</f>
        <v/>
      </c>
      <c r="AA75" s="29" t="str">
        <f ca="1">IF(B75&gt;TODAY(),"",SUM($W$3:W75)/SUM($E$3:E75))</f>
        <v/>
      </c>
      <c r="AB75" s="29" t="str">
        <f ca="1">IF(B75&gt;TODAY(),"",SUM($X$3:X75)/SUM($F$3:F75))</f>
        <v/>
      </c>
      <c r="AC75" s="27"/>
      <c r="AD75" s="7">
        <f t="shared" si="48"/>
        <v>45627</v>
      </c>
      <c r="AE75" s="29">
        <f t="shared" si="49"/>
        <v>0</v>
      </c>
      <c r="AF75" s="37">
        <f t="shared" si="50"/>
        <v>0</v>
      </c>
      <c r="AG75" s="29">
        <f t="shared" ca="1" si="51"/>
        <v>0</v>
      </c>
      <c r="AH75" s="27"/>
      <c r="AI75" s="7">
        <f t="shared" si="52"/>
        <v>45627</v>
      </c>
      <c r="AJ75" s="15">
        <f t="shared" si="62"/>
        <v>-446</v>
      </c>
      <c r="AK75" s="15" t="str">
        <f t="shared" ca="1" si="59"/>
        <v/>
      </c>
      <c r="AL75" s="27"/>
      <c r="AM75" s="11">
        <f t="shared" si="53"/>
        <v>45627</v>
      </c>
      <c r="AN75" s="28">
        <f t="shared" ca="1" si="63"/>
        <v>0</v>
      </c>
      <c r="AO75" s="28">
        <f t="shared" ca="1" si="64"/>
        <v>0</v>
      </c>
      <c r="AP75">
        <f t="shared" si="54"/>
        <v>0</v>
      </c>
      <c r="AQ75" s="11">
        <f t="shared" ca="1" si="23"/>
        <v>45612.2</v>
      </c>
      <c r="AR75" s="29" t="e">
        <f ca="1">AK75/(NETWORKDAYS(B75,$AU$1,Days!$A$11:$A$25)-1)</f>
        <v>#VALUE!</v>
      </c>
      <c r="AS75" s="29" t="e">
        <f t="shared" ca="1" si="60"/>
        <v>#VALUE!</v>
      </c>
      <c r="AT75" s="27"/>
      <c r="AV75" s="10">
        <f t="shared" si="55"/>
        <v>0</v>
      </c>
      <c r="AW75" s="10">
        <f t="shared" si="56"/>
        <v>0</v>
      </c>
      <c r="AX75" s="10">
        <f t="shared" si="57"/>
        <v>0</v>
      </c>
      <c r="AY75" s="7">
        <f t="shared" si="58"/>
        <v>45627</v>
      </c>
      <c r="AZ75" t="str">
        <f ca="1">IF(B75&gt;TODAY(),"",SUM($V$3:V75)/SUM($AV$3:AV75))</f>
        <v/>
      </c>
      <c r="BA75" t="str">
        <f ca="1">IF(B75&gt;TODAY(),"",SUM($W$3:W75)/SUM($AW$3:AW75))</f>
        <v/>
      </c>
      <c r="BB75" t="str">
        <f ca="1">IF(B75&gt;TODAY(),"",SUM($X$3:X75)/SUM($AX$3:AX75))</f>
        <v/>
      </c>
    </row>
    <row r="76" spans="1:54" x14ac:dyDescent="0.25">
      <c r="A76" s="6" t="str">
        <f>VLOOKUP(WEEKDAY(B76,2),Days!$A$1:$B$7,2,0)</f>
        <v>Mon</v>
      </c>
      <c r="B76" s="7">
        <f t="shared" si="61"/>
        <v>45628</v>
      </c>
      <c r="C76" s="6">
        <f>IF(AND(A76&lt;&gt;"Sat",A76&lt;&gt;"Sun",ISERROR(VLOOKUP(B76,Days!$A$10:$A$38,1,0))),1,(IF(AF76&lt;&gt;0,1,0)))</f>
        <v>1</v>
      </c>
      <c r="D76" s="10"/>
      <c r="E76" s="10"/>
      <c r="F76" s="10"/>
      <c r="G76" s="27"/>
      <c r="H76" s="10">
        <v>1</v>
      </c>
      <c r="I76" s="10">
        <v>1</v>
      </c>
      <c r="J76" s="10">
        <v>0</v>
      </c>
      <c r="K76" s="27"/>
      <c r="L76">
        <f>$C76*H76*Days!$F$1</f>
        <v>8</v>
      </c>
      <c r="M76">
        <f>$C76*I76*Days!$F$1</f>
        <v>8</v>
      </c>
      <c r="N76">
        <f>$C76*J76*Days!$F$1</f>
        <v>0</v>
      </c>
      <c r="O76" s="27"/>
      <c r="P76">
        <f t="shared" ca="1" si="43"/>
        <v>0</v>
      </c>
      <c r="Q76">
        <f t="shared" ca="1" si="44"/>
        <v>0</v>
      </c>
      <c r="R76">
        <f t="shared" ca="1" si="45"/>
        <v>0</v>
      </c>
      <c r="S76" s="27"/>
      <c r="T76" s="7">
        <f t="shared" si="46"/>
        <v>45628</v>
      </c>
      <c r="U76" s="6">
        <f t="shared" si="47"/>
        <v>1</v>
      </c>
      <c r="V76">
        <f>COUNTIFS('2024 - L&amp;G R64 - Test Instances'!H:H,B76,'2024 - L&amp;G R64 - Test Instances'!L:L,$V$2,'2024 - L&amp;G R64 - Test Instances'!O:O,"Done")</f>
        <v>0</v>
      </c>
      <c r="W76">
        <f>COUNTIFS('2024 - L&amp;G R64 - Test Instances'!H:H,B76,'2024 - L&amp;G R64 - Test Instances'!L:L,$W$2,'2024 - L&amp;G R64 - Test Instances'!O:O,"Done")</f>
        <v>0</v>
      </c>
      <c r="X76">
        <f>COUNTIFS('2024 - L&amp;G R64 - Test Instances'!H:H,B76,'2024 - L&amp;G R64 - Test Instances'!L:L,$X$2,'2024 - L&amp;G R64 - Test Instances'!O:O,"Done")</f>
        <v>0</v>
      </c>
      <c r="Y76" s="27">
        <v>8</v>
      </c>
      <c r="Z76" s="29" t="str">
        <f ca="1">IF(B76&gt;TODAY(),"",SUM($V$3:V76)/SUM($D$3:D76))</f>
        <v/>
      </c>
      <c r="AA76" s="29" t="str">
        <f ca="1">IF(B76&gt;TODAY(),"",SUM($W$3:W76)/SUM($E$3:E76))</f>
        <v/>
      </c>
      <c r="AB76" s="29" t="str">
        <f ca="1">IF(B76&gt;TODAY(),"",SUM($X$3:X76)/SUM($F$3:F76))</f>
        <v/>
      </c>
      <c r="AC76" s="27"/>
      <c r="AD76" s="7">
        <f t="shared" si="48"/>
        <v>45628</v>
      </c>
      <c r="AE76" s="29">
        <f t="shared" si="49"/>
        <v>16</v>
      </c>
      <c r="AF76" s="37">
        <f t="shared" si="50"/>
        <v>0</v>
      </c>
      <c r="AG76" s="29">
        <f t="shared" ca="1" si="51"/>
        <v>0</v>
      </c>
      <c r="AH76" s="27"/>
      <c r="AI76" s="7">
        <f t="shared" si="52"/>
        <v>45628</v>
      </c>
      <c r="AJ76" s="15">
        <f t="shared" si="62"/>
        <v>-462</v>
      </c>
      <c r="AK76" s="15" t="str">
        <f t="shared" ca="1" si="59"/>
        <v/>
      </c>
      <c r="AL76" s="27"/>
      <c r="AM76" s="11">
        <f t="shared" si="53"/>
        <v>45628</v>
      </c>
      <c r="AN76" s="28">
        <f t="shared" ca="1" si="63"/>
        <v>0</v>
      </c>
      <c r="AO76" s="28">
        <f t="shared" ca="1" si="64"/>
        <v>0</v>
      </c>
      <c r="AP76">
        <f t="shared" si="54"/>
        <v>0</v>
      </c>
      <c r="AQ76" s="11">
        <f t="shared" ca="1" si="23"/>
        <v>45612.2</v>
      </c>
      <c r="AR76" s="29" t="e">
        <f ca="1">AK76/(NETWORKDAYS(B76,$AU$1,Days!$A$11:$A$25)-1)</f>
        <v>#VALUE!</v>
      </c>
      <c r="AS76" s="29" t="e">
        <f t="shared" ca="1" si="60"/>
        <v>#VALUE!</v>
      </c>
      <c r="AT76" s="27"/>
      <c r="AV76" s="10">
        <f t="shared" si="55"/>
        <v>0</v>
      </c>
      <c r="AW76" s="10">
        <f t="shared" si="56"/>
        <v>0</v>
      </c>
      <c r="AX76" s="10">
        <f t="shared" si="57"/>
        <v>0</v>
      </c>
      <c r="AY76" s="7">
        <f t="shared" si="58"/>
        <v>45628</v>
      </c>
      <c r="AZ76" t="str">
        <f ca="1">IF(B76&gt;TODAY(),"",SUM($V$3:V76)/SUM($AV$3:AV76))</f>
        <v/>
      </c>
      <c r="BA76" t="str">
        <f ca="1">IF(B76&gt;TODAY(),"",SUM($W$3:W76)/SUM($AW$3:AW76))</f>
        <v/>
      </c>
      <c r="BB76" t="str">
        <f ca="1">IF(B76&gt;TODAY(),"",SUM($X$3:X76)/SUM($AX$3:AX76))</f>
        <v/>
      </c>
    </row>
    <row r="77" spans="1:54" x14ac:dyDescent="0.25">
      <c r="A77" s="6" t="str">
        <f>VLOOKUP(WEEKDAY(B77,2),Days!$A$1:$B$7,2,0)</f>
        <v>Tue</v>
      </c>
      <c r="B77" s="7">
        <f t="shared" si="61"/>
        <v>45629</v>
      </c>
      <c r="C77" s="6">
        <f>IF(AND(A77&lt;&gt;"Sat",A77&lt;&gt;"Sun",ISERROR(VLOOKUP(B77,Days!$A$10:$A$38,1,0))),1,(IF(AF77&lt;&gt;0,1,0)))</f>
        <v>1</v>
      </c>
      <c r="D77" s="10"/>
      <c r="E77" s="10"/>
      <c r="F77" s="10"/>
      <c r="G77" s="27"/>
      <c r="H77" s="10">
        <v>1</v>
      </c>
      <c r="I77" s="10">
        <v>1</v>
      </c>
      <c r="J77" s="10">
        <v>0</v>
      </c>
      <c r="K77" s="27"/>
      <c r="L77">
        <f>$C77*H77*Days!$F$1</f>
        <v>8</v>
      </c>
      <c r="M77">
        <f>$C77*I77*Days!$F$1</f>
        <v>8</v>
      </c>
      <c r="N77">
        <f>$C77*J77*Days!$F$1</f>
        <v>0</v>
      </c>
      <c r="O77" s="27"/>
      <c r="P77">
        <f t="shared" ca="1" si="43"/>
        <v>0</v>
      </c>
      <c r="Q77">
        <f t="shared" ca="1" si="44"/>
        <v>0</v>
      </c>
      <c r="R77">
        <f t="shared" ca="1" si="45"/>
        <v>0</v>
      </c>
      <c r="S77" s="27"/>
      <c r="T77" s="7">
        <f t="shared" si="46"/>
        <v>45629</v>
      </c>
      <c r="U77" s="6">
        <f t="shared" si="47"/>
        <v>1</v>
      </c>
      <c r="V77">
        <f>COUNTIFS('2024 - L&amp;G R64 - Test Instances'!H:H,B77,'2024 - L&amp;G R64 - Test Instances'!L:L,$V$2,'2024 - L&amp;G R64 - Test Instances'!O:O,"Done")</f>
        <v>0</v>
      </c>
      <c r="W77">
        <f>COUNTIFS('2024 - L&amp;G R64 - Test Instances'!H:H,B77,'2024 - L&amp;G R64 - Test Instances'!L:L,$W$2,'2024 - L&amp;G R64 - Test Instances'!O:O,"Done")</f>
        <v>0</v>
      </c>
      <c r="X77">
        <f>COUNTIFS('2024 - L&amp;G R64 - Test Instances'!H:H,B77,'2024 - L&amp;G R64 - Test Instances'!L:L,$X$2,'2024 - L&amp;G R64 - Test Instances'!O:O,"Done")</f>
        <v>0</v>
      </c>
      <c r="Y77" s="27">
        <v>8</v>
      </c>
      <c r="Z77" s="29" t="str">
        <f ca="1">IF(B77&gt;TODAY(),"",SUM($V$3:V77)/SUM($D$3:D77))</f>
        <v/>
      </c>
      <c r="AA77" s="29" t="str">
        <f ca="1">IF(B77&gt;TODAY(),"",SUM($W$3:W77)/SUM($E$3:E77))</f>
        <v/>
      </c>
      <c r="AB77" s="29" t="str">
        <f ca="1">IF(B77&gt;TODAY(),"",SUM($X$3:X77)/SUM($F$3:F77))</f>
        <v/>
      </c>
      <c r="AC77" s="27"/>
      <c r="AD77" s="7">
        <f t="shared" si="48"/>
        <v>45629</v>
      </c>
      <c r="AE77" s="29">
        <f t="shared" si="49"/>
        <v>16</v>
      </c>
      <c r="AF77" s="37">
        <f t="shared" si="50"/>
        <v>0</v>
      </c>
      <c r="AG77" s="29">
        <f t="shared" ca="1" si="51"/>
        <v>0</v>
      </c>
      <c r="AH77" s="27"/>
      <c r="AI77" s="7">
        <f t="shared" si="52"/>
        <v>45629</v>
      </c>
      <c r="AJ77" s="15">
        <f t="shared" si="62"/>
        <v>-478</v>
      </c>
      <c r="AK77" s="15" t="str">
        <f t="shared" ca="1" si="59"/>
        <v/>
      </c>
      <c r="AL77" s="27"/>
      <c r="AM77" s="11">
        <f t="shared" si="53"/>
        <v>45629</v>
      </c>
      <c r="AN77" s="28">
        <f t="shared" ca="1" si="63"/>
        <v>0</v>
      </c>
      <c r="AO77" s="28">
        <f t="shared" ca="1" si="64"/>
        <v>0</v>
      </c>
      <c r="AP77">
        <f t="shared" si="54"/>
        <v>0</v>
      </c>
      <c r="AQ77" s="11">
        <f t="shared" ca="1" si="23"/>
        <v>45612.2</v>
      </c>
      <c r="AR77" s="29" t="e">
        <f ca="1">AK77/(NETWORKDAYS(B77,$AU$1,Days!$A$11:$A$25)-1)</f>
        <v>#VALUE!</v>
      </c>
      <c r="AS77" s="29" t="e">
        <f t="shared" ca="1" si="60"/>
        <v>#VALUE!</v>
      </c>
      <c r="AT77" s="27"/>
      <c r="AV77" s="10">
        <f t="shared" si="55"/>
        <v>0</v>
      </c>
      <c r="AW77" s="10">
        <f t="shared" si="56"/>
        <v>0</v>
      </c>
      <c r="AX77" s="10">
        <f t="shared" si="57"/>
        <v>0</v>
      </c>
      <c r="AY77" s="7">
        <f t="shared" si="58"/>
        <v>45629</v>
      </c>
      <c r="AZ77" t="str">
        <f ca="1">IF(B77&gt;TODAY(),"",SUM($V$3:V77)/SUM($AV$3:AV77))</f>
        <v/>
      </c>
      <c r="BA77" t="str">
        <f ca="1">IF(B77&gt;TODAY(),"",SUM($W$3:W77)/SUM($AW$3:AW77))</f>
        <v/>
      </c>
      <c r="BB77" t="str">
        <f ca="1">IF(B77&gt;TODAY(),"",SUM($X$3:X77)/SUM($AX$3:AX77))</f>
        <v/>
      </c>
    </row>
    <row r="78" spans="1:54" x14ac:dyDescent="0.25">
      <c r="A78" s="6" t="str">
        <f>VLOOKUP(WEEKDAY(B78,2),Days!$A$1:$B$7,2,0)</f>
        <v>Wed</v>
      </c>
      <c r="B78" s="7">
        <f t="shared" si="61"/>
        <v>45630</v>
      </c>
      <c r="C78" s="6">
        <f>IF(AND(A78&lt;&gt;"Sat",A78&lt;&gt;"Sun",ISERROR(VLOOKUP(B78,Days!$A$10:$A$38,1,0))),1,(IF(AF78&lt;&gt;0,1,0)))</f>
        <v>1</v>
      </c>
      <c r="D78" s="10"/>
      <c r="E78" s="10"/>
      <c r="F78" s="10"/>
      <c r="G78" s="27"/>
      <c r="H78" s="10">
        <v>1</v>
      </c>
      <c r="I78" s="10">
        <v>1</v>
      </c>
      <c r="J78" s="10">
        <v>0</v>
      </c>
      <c r="K78" s="27"/>
      <c r="L78">
        <f>$C78*H78*Days!$F$1</f>
        <v>8</v>
      </c>
      <c r="M78">
        <f>$C78*I78*Days!$F$1</f>
        <v>8</v>
      </c>
      <c r="N78">
        <f>$C78*J78*Days!$F$1</f>
        <v>0</v>
      </c>
      <c r="O78" s="27"/>
      <c r="P78">
        <f t="shared" ca="1" si="43"/>
        <v>0</v>
      </c>
      <c r="Q78">
        <f t="shared" ca="1" si="44"/>
        <v>0</v>
      </c>
      <c r="R78">
        <f t="shared" ca="1" si="45"/>
        <v>0</v>
      </c>
      <c r="S78" s="27"/>
      <c r="T78" s="7">
        <f t="shared" si="46"/>
        <v>45630</v>
      </c>
      <c r="U78" s="6">
        <f t="shared" si="47"/>
        <v>1</v>
      </c>
      <c r="V78">
        <f>COUNTIFS('2024 - L&amp;G R64 - Test Instances'!H:H,B78,'2024 - L&amp;G R64 - Test Instances'!L:L,$V$2,'2024 - L&amp;G R64 - Test Instances'!O:O,"Done")</f>
        <v>0</v>
      </c>
      <c r="W78">
        <f>COUNTIFS('2024 - L&amp;G R64 - Test Instances'!H:H,B78,'2024 - L&amp;G R64 - Test Instances'!L:L,$W$2,'2024 - L&amp;G R64 - Test Instances'!O:O,"Done")</f>
        <v>0</v>
      </c>
      <c r="X78">
        <f>COUNTIFS('2024 - L&amp;G R64 - Test Instances'!H:H,B78,'2024 - L&amp;G R64 - Test Instances'!L:L,$X$2,'2024 - L&amp;G R64 - Test Instances'!O:O,"Done")</f>
        <v>0</v>
      </c>
      <c r="Y78" s="27">
        <v>8</v>
      </c>
      <c r="Z78" s="29" t="str">
        <f ca="1">IF(B78&gt;TODAY(),"",SUM($V$3:V78)/SUM($D$3:D78))</f>
        <v/>
      </c>
      <c r="AA78" s="29" t="str">
        <f ca="1">IF(B78&gt;TODAY(),"",SUM($W$3:W78)/SUM($E$3:E78))</f>
        <v/>
      </c>
      <c r="AB78" s="29" t="str">
        <f ca="1">IF(B78&gt;TODAY(),"",SUM($X$3:X78)/SUM($F$3:F78))</f>
        <v/>
      </c>
      <c r="AC78" s="27"/>
      <c r="AD78" s="7">
        <f t="shared" si="48"/>
        <v>45630</v>
      </c>
      <c r="AE78" s="29">
        <f t="shared" si="49"/>
        <v>16</v>
      </c>
      <c r="AF78" s="37">
        <f t="shared" si="50"/>
        <v>0</v>
      </c>
      <c r="AG78" s="29">
        <f t="shared" ca="1" si="51"/>
        <v>0</v>
      </c>
      <c r="AH78" s="27"/>
      <c r="AI78" s="7">
        <f t="shared" si="52"/>
        <v>45630</v>
      </c>
      <c r="AJ78" s="15">
        <f t="shared" si="62"/>
        <v>-494</v>
      </c>
      <c r="AK78" s="15" t="str">
        <f t="shared" ca="1" si="59"/>
        <v/>
      </c>
      <c r="AL78" s="27"/>
      <c r="AM78" s="11">
        <f t="shared" si="53"/>
        <v>45630</v>
      </c>
      <c r="AN78" s="28">
        <f t="shared" ca="1" si="63"/>
        <v>0</v>
      </c>
      <c r="AO78" s="28">
        <f t="shared" ca="1" si="64"/>
        <v>0</v>
      </c>
      <c r="AP78">
        <f t="shared" si="54"/>
        <v>0</v>
      </c>
      <c r="AQ78" s="11">
        <f t="shared" ca="1" si="23"/>
        <v>45612.2</v>
      </c>
      <c r="AR78" s="29" t="e">
        <f ca="1">AK78/(NETWORKDAYS(B78,$AU$1,Days!$A$11:$A$25)-1)</f>
        <v>#VALUE!</v>
      </c>
      <c r="AS78" s="29" t="e">
        <f t="shared" ca="1" si="60"/>
        <v>#VALUE!</v>
      </c>
      <c r="AT78" s="27"/>
      <c r="AV78" s="10">
        <f t="shared" si="55"/>
        <v>0</v>
      </c>
      <c r="AW78" s="10">
        <f t="shared" si="56"/>
        <v>0</v>
      </c>
      <c r="AX78" s="10">
        <f t="shared" si="57"/>
        <v>0</v>
      </c>
      <c r="AY78" s="7">
        <f t="shared" si="58"/>
        <v>45630</v>
      </c>
      <c r="AZ78" t="str">
        <f ca="1">IF(B78&gt;TODAY(),"",SUM($V$3:V78)/SUM($AV$3:AV78))</f>
        <v/>
      </c>
      <c r="BA78" t="str">
        <f ca="1">IF(B78&gt;TODAY(),"",SUM($W$3:W78)/SUM($AW$3:AW78))</f>
        <v/>
      </c>
      <c r="BB78" t="str">
        <f ca="1">IF(B78&gt;TODAY(),"",SUM($X$3:X78)/SUM($AX$3:AX78))</f>
        <v/>
      </c>
    </row>
    <row r="79" spans="1:54" x14ac:dyDescent="0.25">
      <c r="A79" s="6" t="str">
        <f>VLOOKUP(WEEKDAY(B79,2),Days!$A$1:$B$7,2,0)</f>
        <v>Thu</v>
      </c>
      <c r="B79" s="7">
        <f t="shared" si="61"/>
        <v>45631</v>
      </c>
      <c r="C79" s="6">
        <f>IF(AND(A79&lt;&gt;"Sat",A79&lt;&gt;"Sun",ISERROR(VLOOKUP(B79,Days!$A$10:$A$38,1,0))),1,(IF(AF79&lt;&gt;0,1,0)))</f>
        <v>1</v>
      </c>
      <c r="D79" s="10"/>
      <c r="E79" s="10"/>
      <c r="F79" s="10"/>
      <c r="G79" s="27"/>
      <c r="H79" s="10">
        <v>1</v>
      </c>
      <c r="I79" s="10">
        <v>1</v>
      </c>
      <c r="J79" s="10">
        <v>0</v>
      </c>
      <c r="K79" s="27"/>
      <c r="L79">
        <f>$C79*H79*Days!$F$1</f>
        <v>8</v>
      </c>
      <c r="M79">
        <f>$C79*I79*Days!$F$1</f>
        <v>8</v>
      </c>
      <c r="N79">
        <f>$C79*J79*Days!$F$1</f>
        <v>0</v>
      </c>
      <c r="O79" s="27"/>
      <c r="P79">
        <f t="shared" ca="1" si="43"/>
        <v>0</v>
      </c>
      <c r="Q79">
        <f t="shared" ca="1" si="44"/>
        <v>0</v>
      </c>
      <c r="R79">
        <f t="shared" ca="1" si="45"/>
        <v>0</v>
      </c>
      <c r="S79" s="27"/>
      <c r="T79" s="7">
        <f t="shared" si="46"/>
        <v>45631</v>
      </c>
      <c r="U79" s="6">
        <f t="shared" si="47"/>
        <v>1</v>
      </c>
      <c r="V79">
        <f>COUNTIFS('2024 - L&amp;G R64 - Test Instances'!H:H,B79,'2024 - L&amp;G R64 - Test Instances'!L:L,$V$2,'2024 - L&amp;G R64 - Test Instances'!O:O,"Done")</f>
        <v>0</v>
      </c>
      <c r="W79">
        <f>COUNTIFS('2024 - L&amp;G R64 - Test Instances'!H:H,B79,'2024 - L&amp;G R64 - Test Instances'!L:L,$W$2,'2024 - L&amp;G R64 - Test Instances'!O:O,"Done")</f>
        <v>0</v>
      </c>
      <c r="X79">
        <f>COUNTIFS('2024 - L&amp;G R64 - Test Instances'!H:H,B79,'2024 - L&amp;G R64 - Test Instances'!L:L,$X$2,'2024 - L&amp;G R64 - Test Instances'!O:O,"Done")</f>
        <v>0</v>
      </c>
      <c r="Y79" s="27">
        <v>8</v>
      </c>
      <c r="Z79" s="29" t="str">
        <f ca="1">IF(B79&gt;TODAY(),"",SUM($V$3:V79)/SUM($D$3:D79))</f>
        <v/>
      </c>
      <c r="AA79" s="29" t="str">
        <f ca="1">IF(B79&gt;TODAY(),"",SUM($W$3:W79)/SUM($E$3:E79))</f>
        <v/>
      </c>
      <c r="AB79" s="29" t="str">
        <f ca="1">IF(B79&gt;TODAY(),"",SUM($X$3:X79)/SUM($F$3:F79))</f>
        <v/>
      </c>
      <c r="AC79" s="27"/>
      <c r="AD79" s="7">
        <f t="shared" si="48"/>
        <v>45631</v>
      </c>
      <c r="AE79" s="29">
        <f t="shared" si="49"/>
        <v>16</v>
      </c>
      <c r="AF79" s="37">
        <f t="shared" si="50"/>
        <v>0</v>
      </c>
      <c r="AG79" s="29">
        <f t="shared" ca="1" si="51"/>
        <v>0</v>
      </c>
      <c r="AH79" s="27"/>
      <c r="AI79" s="7">
        <f t="shared" si="52"/>
        <v>45631</v>
      </c>
      <c r="AJ79" s="15">
        <f t="shared" si="62"/>
        <v>-510</v>
      </c>
      <c r="AK79" s="15" t="str">
        <f t="shared" ca="1" si="59"/>
        <v/>
      </c>
      <c r="AL79" s="27"/>
      <c r="AM79" s="11">
        <f t="shared" si="53"/>
        <v>45631</v>
      </c>
      <c r="AN79" s="28">
        <f t="shared" ca="1" si="63"/>
        <v>0</v>
      </c>
      <c r="AO79" s="28">
        <f t="shared" ca="1" si="64"/>
        <v>0</v>
      </c>
      <c r="AP79">
        <f t="shared" si="54"/>
        <v>0</v>
      </c>
      <c r="AQ79" s="11">
        <f t="shared" ca="1" si="23"/>
        <v>45612.2</v>
      </c>
      <c r="AR79" s="29" t="e">
        <f ca="1">AK79/(NETWORKDAYS(B79,$AU$1,Days!$A$11:$A$25)-1)</f>
        <v>#VALUE!</v>
      </c>
      <c r="AS79" s="29" t="e">
        <f t="shared" ca="1" si="60"/>
        <v>#VALUE!</v>
      </c>
      <c r="AT79" s="27"/>
      <c r="AV79" s="10">
        <f t="shared" si="55"/>
        <v>0</v>
      </c>
      <c r="AW79" s="10">
        <f t="shared" si="56"/>
        <v>0</v>
      </c>
      <c r="AX79" s="10">
        <f t="shared" si="57"/>
        <v>0</v>
      </c>
      <c r="AY79" s="7">
        <f t="shared" si="58"/>
        <v>45631</v>
      </c>
      <c r="AZ79" t="str">
        <f ca="1">IF(B79&gt;TODAY(),"",SUM($V$3:V79)/SUM($AV$3:AV79))</f>
        <v/>
      </c>
      <c r="BA79" t="str">
        <f ca="1">IF(B79&gt;TODAY(),"",SUM($W$3:W79)/SUM($AW$3:AW79))</f>
        <v/>
      </c>
      <c r="BB79" t="str">
        <f ca="1">IF(B79&gt;TODAY(),"",SUM($X$3:X79)/SUM($AX$3:AX79))</f>
        <v/>
      </c>
    </row>
    <row r="80" spans="1:54" x14ac:dyDescent="0.25">
      <c r="A80" s="6" t="str">
        <f>VLOOKUP(WEEKDAY(B80,2),Days!$A$1:$B$7,2,0)</f>
        <v>Fri</v>
      </c>
      <c r="B80" s="7">
        <f t="shared" si="61"/>
        <v>45632</v>
      </c>
      <c r="C80" s="6">
        <f>IF(AND(A80&lt;&gt;"Sat",A80&lt;&gt;"Sun",ISERROR(VLOOKUP(B80,Days!$A$10:$A$38,1,0))),1,(IF(AF80&lt;&gt;0,1,0)))</f>
        <v>1</v>
      </c>
      <c r="D80" s="10"/>
      <c r="E80" s="10"/>
      <c r="F80" s="10"/>
      <c r="G80" s="27"/>
      <c r="H80" s="10">
        <v>1</v>
      </c>
      <c r="I80" s="10">
        <v>1</v>
      </c>
      <c r="J80" s="10">
        <v>0</v>
      </c>
      <c r="K80" s="27"/>
      <c r="L80">
        <f>$C80*H80*Days!$F$1</f>
        <v>8</v>
      </c>
      <c r="M80">
        <f>$C80*I80*Days!$F$1</f>
        <v>8</v>
      </c>
      <c r="N80">
        <f>$C80*J80*Days!$F$1</f>
        <v>0</v>
      </c>
      <c r="O80" s="27"/>
      <c r="P80">
        <f t="shared" ca="1" si="43"/>
        <v>0</v>
      </c>
      <c r="Q80">
        <f t="shared" ca="1" si="44"/>
        <v>0</v>
      </c>
      <c r="R80">
        <f t="shared" ca="1" si="45"/>
        <v>0</v>
      </c>
      <c r="S80" s="27"/>
      <c r="T80" s="7">
        <f t="shared" si="46"/>
        <v>45632</v>
      </c>
      <c r="U80" s="6">
        <f t="shared" si="47"/>
        <v>1</v>
      </c>
      <c r="V80">
        <f>COUNTIFS('2024 - L&amp;G R64 - Test Instances'!H:H,B80,'2024 - L&amp;G R64 - Test Instances'!L:L,$V$2,'2024 - L&amp;G R64 - Test Instances'!O:O,"Done")</f>
        <v>0</v>
      </c>
      <c r="W80">
        <f>COUNTIFS('2024 - L&amp;G R64 - Test Instances'!H:H,B80,'2024 - L&amp;G R64 - Test Instances'!L:L,$W$2,'2024 - L&amp;G R64 - Test Instances'!O:O,"Done")</f>
        <v>0</v>
      </c>
      <c r="X80">
        <f>COUNTIFS('2024 - L&amp;G R64 - Test Instances'!H:H,B80,'2024 - L&amp;G R64 - Test Instances'!L:L,$X$2,'2024 - L&amp;G R64 - Test Instances'!O:O,"Done")</f>
        <v>0</v>
      </c>
      <c r="Y80" s="27">
        <v>8</v>
      </c>
      <c r="Z80" s="29" t="str">
        <f ca="1">IF(B80&gt;TODAY(),"",SUM($V$3:V80)/SUM($D$3:D80))</f>
        <v/>
      </c>
      <c r="AA80" s="29" t="str">
        <f ca="1">IF(B80&gt;TODAY(),"",SUM($W$3:W80)/SUM($E$3:E80))</f>
        <v/>
      </c>
      <c r="AB80" s="29" t="str">
        <f ca="1">IF(B80&gt;TODAY(),"",SUM($X$3:X80)/SUM($F$3:F80))</f>
        <v/>
      </c>
      <c r="AC80" s="27"/>
      <c r="AD80" s="7">
        <f t="shared" si="48"/>
        <v>45632</v>
      </c>
      <c r="AE80" s="29">
        <f t="shared" si="49"/>
        <v>16</v>
      </c>
      <c r="AF80" s="37">
        <f t="shared" si="50"/>
        <v>0</v>
      </c>
      <c r="AG80" s="29">
        <f t="shared" ca="1" si="51"/>
        <v>0</v>
      </c>
      <c r="AH80" s="27"/>
      <c r="AI80" s="7">
        <f t="shared" si="52"/>
        <v>45632</v>
      </c>
      <c r="AJ80" s="15">
        <f t="shared" si="62"/>
        <v>-526</v>
      </c>
      <c r="AK80" s="15" t="str">
        <f t="shared" ca="1" si="59"/>
        <v/>
      </c>
      <c r="AL80" s="27"/>
      <c r="AM80" s="11">
        <f t="shared" si="53"/>
        <v>45632</v>
      </c>
      <c r="AN80" s="28">
        <f t="shared" ca="1" si="63"/>
        <v>0</v>
      </c>
      <c r="AO80" s="28">
        <f t="shared" ca="1" si="64"/>
        <v>0</v>
      </c>
      <c r="AP80">
        <f t="shared" si="54"/>
        <v>0</v>
      </c>
      <c r="AQ80" s="11">
        <f t="shared" ca="1" si="23"/>
        <v>45612.2</v>
      </c>
      <c r="AR80" s="29" t="e">
        <f ca="1">AK80/(NETWORKDAYS(B80,$AU$1,Days!$A$11:$A$25)-1)</f>
        <v>#VALUE!</v>
      </c>
      <c r="AS80" s="29" t="e">
        <f t="shared" ca="1" si="60"/>
        <v>#VALUE!</v>
      </c>
      <c r="AT80" s="27"/>
      <c r="AV80" s="10">
        <f t="shared" si="55"/>
        <v>0</v>
      </c>
      <c r="AW80" s="10">
        <f t="shared" si="56"/>
        <v>0</v>
      </c>
      <c r="AX80" s="10">
        <f t="shared" si="57"/>
        <v>0</v>
      </c>
      <c r="AY80" s="7">
        <f t="shared" si="58"/>
        <v>45632</v>
      </c>
      <c r="AZ80" t="str">
        <f ca="1">IF(B80&gt;TODAY(),"",SUM($V$3:V80)/SUM($AV$3:AV80))</f>
        <v/>
      </c>
      <c r="BA80" t="str">
        <f ca="1">IF(B80&gt;TODAY(),"",SUM($W$3:W80)/SUM($AW$3:AW80))</f>
        <v/>
      </c>
      <c r="BB80" t="str">
        <f ca="1">IF(B80&gt;TODAY(),"",SUM($X$3:X80)/SUM($AX$3:AX80))</f>
        <v/>
      </c>
    </row>
    <row r="81" spans="1:54" x14ac:dyDescent="0.25">
      <c r="A81" s="6" t="str">
        <f>VLOOKUP(WEEKDAY(B81,2),Days!$A$1:$B$7,2,0)</f>
        <v>Sat</v>
      </c>
      <c r="B81" s="7">
        <f t="shared" si="61"/>
        <v>45633</v>
      </c>
      <c r="C81" s="6">
        <f>IF(AND(A81&lt;&gt;"Sat",A81&lt;&gt;"Sun",ISERROR(VLOOKUP(B81,Days!$A$10:$A$38,1,0))),1,(IF(AF81&lt;&gt;0,1,0)))</f>
        <v>0</v>
      </c>
      <c r="D81" s="10"/>
      <c r="E81" s="10"/>
      <c r="F81" s="10"/>
      <c r="G81" s="27"/>
      <c r="H81" s="10">
        <v>0</v>
      </c>
      <c r="I81" s="10">
        <v>0</v>
      </c>
      <c r="J81" s="10">
        <v>0</v>
      </c>
      <c r="K81" s="27"/>
      <c r="L81">
        <f>$C81*H81*Days!$F$1</f>
        <v>0</v>
      </c>
      <c r="M81">
        <f>$C81*I81*Days!$F$1</f>
        <v>0</v>
      </c>
      <c r="N81">
        <f>$C81*J81*Days!$F$1</f>
        <v>0</v>
      </c>
      <c r="O81" s="27"/>
      <c r="P81">
        <f t="shared" ca="1" si="43"/>
        <v>0</v>
      </c>
      <c r="Q81">
        <f t="shared" ca="1" si="44"/>
        <v>0</v>
      </c>
      <c r="R81">
        <f t="shared" ca="1" si="45"/>
        <v>0</v>
      </c>
      <c r="S81" s="27"/>
      <c r="T81" s="7">
        <f t="shared" si="46"/>
        <v>45633</v>
      </c>
      <c r="U81" s="6">
        <f t="shared" si="47"/>
        <v>0</v>
      </c>
      <c r="V81">
        <f>COUNTIFS('2024 - L&amp;G R64 - Test Instances'!H:H,B81,'2024 - L&amp;G R64 - Test Instances'!L:L,$V$2,'2024 - L&amp;G R64 - Test Instances'!O:O,"Done")</f>
        <v>0</v>
      </c>
      <c r="W81">
        <f>COUNTIFS('2024 - L&amp;G R64 - Test Instances'!H:H,B81,'2024 - L&amp;G R64 - Test Instances'!L:L,$W$2,'2024 - L&amp;G R64 - Test Instances'!O:O,"Done")</f>
        <v>0</v>
      </c>
      <c r="X81">
        <f>COUNTIFS('2024 - L&amp;G R64 - Test Instances'!H:H,B81,'2024 - L&amp;G R64 - Test Instances'!L:L,$X$2,'2024 - L&amp;G R64 - Test Instances'!O:O,"Done")</f>
        <v>0</v>
      </c>
      <c r="Y81" s="27">
        <v>8</v>
      </c>
      <c r="Z81" s="29" t="str">
        <f ca="1">IF(B81&gt;TODAY(),"",SUM($V$3:V81)/SUM($D$3:D81))</f>
        <v/>
      </c>
      <c r="AA81" s="29" t="str">
        <f ca="1">IF(B81&gt;TODAY(),"",SUM($W$3:W81)/SUM($E$3:E81))</f>
        <v/>
      </c>
      <c r="AB81" s="29" t="str">
        <f ca="1">IF(B81&gt;TODAY(),"",SUM($X$3:X81)/SUM($F$3:F81))</f>
        <v/>
      </c>
      <c r="AC81" s="27"/>
      <c r="AD81" s="7">
        <f t="shared" si="48"/>
        <v>45633</v>
      </c>
      <c r="AE81" s="29">
        <f t="shared" si="49"/>
        <v>0</v>
      </c>
      <c r="AF81" s="37">
        <f t="shared" si="50"/>
        <v>0</v>
      </c>
      <c r="AG81" s="29">
        <f t="shared" ca="1" si="51"/>
        <v>0</v>
      </c>
      <c r="AH81" s="27"/>
      <c r="AI81" s="7">
        <f t="shared" si="52"/>
        <v>45633</v>
      </c>
      <c r="AJ81" s="15">
        <f t="shared" si="62"/>
        <v>-526</v>
      </c>
      <c r="AK81" s="15" t="str">
        <f t="shared" ca="1" si="59"/>
        <v/>
      </c>
      <c r="AL81" s="27"/>
      <c r="AM81" s="11">
        <f t="shared" si="53"/>
        <v>45633</v>
      </c>
      <c r="AN81" s="28">
        <f t="shared" ca="1" si="63"/>
        <v>0</v>
      </c>
      <c r="AO81" s="28">
        <f t="shared" ca="1" si="64"/>
        <v>0</v>
      </c>
      <c r="AP81">
        <f t="shared" si="54"/>
        <v>0</v>
      </c>
      <c r="AQ81" s="11">
        <f t="shared" ca="1" si="23"/>
        <v>45612.2</v>
      </c>
      <c r="AR81" s="29" t="e">
        <f ca="1">AK81/(NETWORKDAYS(B81,$AU$1,Days!$A$11:$A$25)-1)</f>
        <v>#VALUE!</v>
      </c>
      <c r="AS81" s="29" t="e">
        <f t="shared" ca="1" si="60"/>
        <v>#VALUE!</v>
      </c>
      <c r="AT81" s="27"/>
      <c r="AV81" s="10">
        <f t="shared" si="55"/>
        <v>0</v>
      </c>
      <c r="AW81" s="10">
        <f t="shared" si="56"/>
        <v>0</v>
      </c>
      <c r="AX81" s="10">
        <f t="shared" si="57"/>
        <v>0</v>
      </c>
      <c r="AY81" s="7">
        <f t="shared" si="58"/>
        <v>45633</v>
      </c>
      <c r="AZ81" t="str">
        <f ca="1">IF(B81&gt;TODAY(),"",SUM($V$3:V81)/SUM($AV$3:AV81))</f>
        <v/>
      </c>
      <c r="BA81" t="str">
        <f ca="1">IF(B81&gt;TODAY(),"",SUM($W$3:W81)/SUM($AW$3:AW81))</f>
        <v/>
      </c>
      <c r="BB81" t="str">
        <f ca="1">IF(B81&gt;TODAY(),"",SUM($X$3:X81)/SUM($AX$3:AX81))</f>
        <v/>
      </c>
    </row>
    <row r="82" spans="1:54" x14ac:dyDescent="0.25">
      <c r="A82" s="6" t="str">
        <f>VLOOKUP(WEEKDAY(B82,2),Days!$A$1:$B$7,2,0)</f>
        <v>Sun</v>
      </c>
      <c r="B82" s="7">
        <f t="shared" si="61"/>
        <v>45634</v>
      </c>
      <c r="C82" s="6">
        <f>IF(AND(A82&lt;&gt;"Sat",A82&lt;&gt;"Sun",ISERROR(VLOOKUP(B82,Days!$A$10:$A$38,1,0))),1,(IF(AF82&lt;&gt;0,1,0)))</f>
        <v>0</v>
      </c>
      <c r="D82" s="10"/>
      <c r="E82" s="10"/>
      <c r="F82" s="10"/>
      <c r="G82" s="27"/>
      <c r="H82" s="10">
        <v>0</v>
      </c>
      <c r="I82" s="10">
        <v>0</v>
      </c>
      <c r="J82" s="10">
        <v>0</v>
      </c>
      <c r="K82" s="27"/>
      <c r="L82">
        <f>$C82*H82*Days!$F$1</f>
        <v>0</v>
      </c>
      <c r="M82">
        <f>$C82*I82*Days!$F$1</f>
        <v>0</v>
      </c>
      <c r="N82">
        <f>$C82*J82*Days!$F$1</f>
        <v>0</v>
      </c>
      <c r="O82" s="27"/>
      <c r="P82">
        <f t="shared" ca="1" si="43"/>
        <v>0</v>
      </c>
      <c r="Q82">
        <f t="shared" ca="1" si="44"/>
        <v>0</v>
      </c>
      <c r="R82">
        <f t="shared" ca="1" si="45"/>
        <v>0</v>
      </c>
      <c r="S82" s="27"/>
      <c r="T82" s="7">
        <f t="shared" si="46"/>
        <v>45634</v>
      </c>
      <c r="U82" s="6">
        <f t="shared" si="47"/>
        <v>0</v>
      </c>
      <c r="V82">
        <f>COUNTIFS('2024 - L&amp;G R64 - Test Instances'!H:H,B82,'2024 - L&amp;G R64 - Test Instances'!L:L,$V$2,'2024 - L&amp;G R64 - Test Instances'!O:O,"Done")</f>
        <v>0</v>
      </c>
      <c r="W82">
        <f>COUNTIFS('2024 - L&amp;G R64 - Test Instances'!H:H,B82,'2024 - L&amp;G R64 - Test Instances'!L:L,$W$2,'2024 - L&amp;G R64 - Test Instances'!O:O,"Done")</f>
        <v>0</v>
      </c>
      <c r="X82">
        <f>COUNTIFS('2024 - L&amp;G R64 - Test Instances'!H:H,B82,'2024 - L&amp;G R64 - Test Instances'!L:L,$X$2,'2024 - L&amp;G R64 - Test Instances'!O:O,"Done")</f>
        <v>0</v>
      </c>
      <c r="Y82" s="27">
        <v>8</v>
      </c>
      <c r="Z82" s="29" t="str">
        <f ca="1">IF(B82&gt;TODAY(),"",SUM($V$3:V82)/SUM($D$3:D82))</f>
        <v/>
      </c>
      <c r="AA82" s="29" t="str">
        <f ca="1">IF(B82&gt;TODAY(),"",SUM($W$3:W82)/SUM($E$3:E82))</f>
        <v/>
      </c>
      <c r="AB82" s="29" t="str">
        <f ca="1">IF(B82&gt;TODAY(),"",SUM($X$3:X82)/SUM($F$3:F82))</f>
        <v/>
      </c>
      <c r="AC82" s="27"/>
      <c r="AD82" s="7">
        <f t="shared" si="48"/>
        <v>45634</v>
      </c>
      <c r="AE82" s="29">
        <f t="shared" si="49"/>
        <v>0</v>
      </c>
      <c r="AF82" s="37">
        <f t="shared" si="50"/>
        <v>0</v>
      </c>
      <c r="AG82" s="29">
        <f t="shared" ca="1" si="51"/>
        <v>0</v>
      </c>
      <c r="AH82" s="27"/>
      <c r="AI82" s="7">
        <f t="shared" si="52"/>
        <v>45634</v>
      </c>
      <c r="AJ82" s="15">
        <f t="shared" si="62"/>
        <v>-526</v>
      </c>
      <c r="AK82" s="15" t="str">
        <f t="shared" ca="1" si="59"/>
        <v/>
      </c>
      <c r="AL82" s="27"/>
      <c r="AM82" s="11">
        <f t="shared" si="53"/>
        <v>45634</v>
      </c>
      <c r="AN82" s="28">
        <f t="shared" ca="1" si="63"/>
        <v>0</v>
      </c>
      <c r="AO82" s="28">
        <f t="shared" ca="1" si="64"/>
        <v>0</v>
      </c>
      <c r="AP82">
        <f t="shared" si="54"/>
        <v>0</v>
      </c>
      <c r="AQ82" s="11">
        <f t="shared" ca="1" si="23"/>
        <v>45612.2</v>
      </c>
      <c r="AR82" s="29" t="e">
        <f ca="1">AK82/(NETWORKDAYS(B82,$AU$1,Days!$A$11:$A$25)-1)</f>
        <v>#VALUE!</v>
      </c>
      <c r="AS82" s="29" t="e">
        <f t="shared" ca="1" si="60"/>
        <v>#VALUE!</v>
      </c>
      <c r="AT82" s="27"/>
      <c r="AV82" s="10">
        <f t="shared" si="55"/>
        <v>0</v>
      </c>
      <c r="AW82" s="10">
        <f t="shared" si="56"/>
        <v>0</v>
      </c>
      <c r="AX82" s="10">
        <f t="shared" si="57"/>
        <v>0</v>
      </c>
      <c r="AY82" s="7">
        <f t="shared" si="58"/>
        <v>45634</v>
      </c>
      <c r="AZ82" t="str">
        <f ca="1">IF(B82&gt;TODAY(),"",SUM($V$3:V82)/SUM($AV$3:AV82))</f>
        <v/>
      </c>
      <c r="BA82" t="str">
        <f ca="1">IF(B82&gt;TODAY(),"",SUM($W$3:W82)/SUM($AW$3:AW82))</f>
        <v/>
      </c>
      <c r="BB82" t="str">
        <f ca="1">IF(B82&gt;TODAY(),"",SUM($X$3:X82)/SUM($AX$3:AX82))</f>
        <v/>
      </c>
    </row>
    <row r="83" spans="1:54" x14ac:dyDescent="0.25">
      <c r="A83" s="6" t="str">
        <f>VLOOKUP(WEEKDAY(B83,2),Days!$A$1:$B$7,2,0)</f>
        <v>Mon</v>
      </c>
      <c r="B83" s="7">
        <f t="shared" si="61"/>
        <v>45635</v>
      </c>
      <c r="C83" s="6">
        <f>IF(AND(A83&lt;&gt;"Sat",A83&lt;&gt;"Sun",ISERROR(VLOOKUP(B83,Days!$A$10:$A$38,1,0))),1,(IF(AF83&lt;&gt;0,1,0)))</f>
        <v>1</v>
      </c>
      <c r="D83" s="10"/>
      <c r="E83" s="10"/>
      <c r="F83" s="10"/>
      <c r="G83" s="27"/>
      <c r="H83" s="10">
        <v>0</v>
      </c>
      <c r="I83" s="10">
        <v>0</v>
      </c>
      <c r="J83" s="10">
        <v>0</v>
      </c>
      <c r="K83" s="27"/>
      <c r="L83">
        <f>$C83*H83*Days!$F$1</f>
        <v>0</v>
      </c>
      <c r="M83">
        <f>$C83*I83*Days!$F$1</f>
        <v>0</v>
      </c>
      <c r="N83">
        <f>$C83*J83*Days!$F$1</f>
        <v>0</v>
      </c>
      <c r="O83" s="27"/>
      <c r="P83">
        <f t="shared" ca="1" si="43"/>
        <v>0</v>
      </c>
      <c r="Q83">
        <f t="shared" ca="1" si="44"/>
        <v>0</v>
      </c>
      <c r="R83">
        <f t="shared" ca="1" si="45"/>
        <v>0</v>
      </c>
      <c r="S83" s="27"/>
      <c r="T83" s="7">
        <f t="shared" si="46"/>
        <v>45635</v>
      </c>
      <c r="U83" s="6">
        <f t="shared" si="47"/>
        <v>1</v>
      </c>
      <c r="V83">
        <f>COUNTIFS('2024 - L&amp;G R64 - Test Instances'!H:H,B83,'2024 - L&amp;G R64 - Test Instances'!L:L,$V$2,'2024 - L&amp;G R64 - Test Instances'!O:O,"Done")</f>
        <v>0</v>
      </c>
      <c r="W83">
        <f>COUNTIFS('2024 - L&amp;G R64 - Test Instances'!H:H,B83,'2024 - L&amp;G R64 - Test Instances'!L:L,$W$2,'2024 - L&amp;G R64 - Test Instances'!O:O,"Done")</f>
        <v>0</v>
      </c>
      <c r="X83">
        <f>COUNTIFS('2024 - L&amp;G R64 - Test Instances'!H:H,B83,'2024 - L&amp;G R64 - Test Instances'!L:L,$X$2,'2024 - L&amp;G R64 - Test Instances'!O:O,"Done")</f>
        <v>0</v>
      </c>
      <c r="Y83" s="27">
        <v>8</v>
      </c>
      <c r="Z83" s="29" t="str">
        <f ca="1">IF(B83&gt;TODAY(),"",SUM($V$3:V83)/SUM($D$3:D83))</f>
        <v/>
      </c>
      <c r="AA83" s="29" t="str">
        <f ca="1">IF(B83&gt;TODAY(),"",SUM($W$3:W83)/SUM($E$3:E83))</f>
        <v/>
      </c>
      <c r="AB83" s="29" t="str">
        <f ca="1">IF(B83&gt;TODAY(),"",SUM($X$3:X83)/SUM($F$3:F83))</f>
        <v/>
      </c>
      <c r="AC83" s="27"/>
      <c r="AD83" s="7">
        <f t="shared" si="48"/>
        <v>45635</v>
      </c>
      <c r="AE83" s="29">
        <f t="shared" si="49"/>
        <v>0</v>
      </c>
      <c r="AF83" s="37">
        <f t="shared" si="50"/>
        <v>0</v>
      </c>
      <c r="AG83" s="29">
        <f t="shared" ca="1" si="51"/>
        <v>0</v>
      </c>
      <c r="AH83" s="27"/>
      <c r="AI83" s="7">
        <f t="shared" si="52"/>
        <v>45635</v>
      </c>
      <c r="AJ83" s="15">
        <f t="shared" si="62"/>
        <v>-526</v>
      </c>
      <c r="AK83" s="15" t="str">
        <f t="shared" ca="1" si="59"/>
        <v/>
      </c>
      <c r="AL83" s="27"/>
      <c r="AM83" s="11">
        <f t="shared" si="53"/>
        <v>45635</v>
      </c>
      <c r="AN83" s="28">
        <f t="shared" ca="1" si="63"/>
        <v>0</v>
      </c>
      <c r="AO83" s="28">
        <f t="shared" ca="1" si="64"/>
        <v>0</v>
      </c>
      <c r="AP83">
        <f t="shared" si="54"/>
        <v>0</v>
      </c>
      <c r="AQ83" s="11">
        <f t="shared" ca="1" si="23"/>
        <v>45612.2</v>
      </c>
      <c r="AR83" s="29" t="e">
        <f ca="1">AK83/(NETWORKDAYS(B83,$AU$1,Days!$A$11:$A$25)-1)</f>
        <v>#VALUE!</v>
      </c>
      <c r="AS83" s="29" t="e">
        <f t="shared" ca="1" si="60"/>
        <v>#VALUE!</v>
      </c>
      <c r="AT83" s="27"/>
      <c r="AV83" s="10">
        <f t="shared" si="55"/>
        <v>0</v>
      </c>
      <c r="AW83" s="10">
        <f t="shared" si="56"/>
        <v>0</v>
      </c>
      <c r="AX83" s="10">
        <f t="shared" si="57"/>
        <v>0</v>
      </c>
      <c r="AY83" s="7">
        <f t="shared" si="58"/>
        <v>45635</v>
      </c>
      <c r="AZ83" t="str">
        <f ca="1">IF(B83&gt;TODAY(),"",SUM($V$3:V83)/SUM($AV$3:AV83))</f>
        <v/>
      </c>
      <c r="BA83" t="str">
        <f ca="1">IF(B83&gt;TODAY(),"",SUM($W$3:W83)/SUM($AW$3:AW83))</f>
        <v/>
      </c>
      <c r="BB83" t="str">
        <f ca="1">IF(B83&gt;TODAY(),"",SUM($X$3:X83)/SUM($AX$3:AX83))</f>
        <v/>
      </c>
    </row>
    <row r="84" spans="1:54" x14ac:dyDescent="0.25">
      <c r="A84" s="6" t="str">
        <f>VLOOKUP(WEEKDAY(B84,2),Days!$A$1:$B$7,2,0)</f>
        <v>Tue</v>
      </c>
      <c r="B84" s="7">
        <f t="shared" si="61"/>
        <v>45636</v>
      </c>
      <c r="C84" s="6">
        <f>IF(AND(A84&lt;&gt;"Sat",A84&lt;&gt;"Sun",ISERROR(VLOOKUP(B84,Days!$A$10:$A$38,1,0))),1,(IF(AF84&lt;&gt;0,1,0)))</f>
        <v>1</v>
      </c>
      <c r="D84" s="10"/>
      <c r="E84" s="10"/>
      <c r="F84" s="10"/>
      <c r="G84" s="27"/>
      <c r="H84" s="10">
        <v>1</v>
      </c>
      <c r="I84" s="10">
        <v>1</v>
      </c>
      <c r="J84" s="10">
        <v>0</v>
      </c>
      <c r="K84" s="27"/>
      <c r="L84">
        <f>$C84*H84*Days!$F$1</f>
        <v>8</v>
      </c>
      <c r="M84">
        <f>$C84*I84*Days!$F$1</f>
        <v>8</v>
      </c>
      <c r="N84">
        <f>$C84*J84*Days!$F$1</f>
        <v>0</v>
      </c>
      <c r="O84" s="27"/>
      <c r="P84">
        <f t="shared" ca="1" si="43"/>
        <v>0</v>
      </c>
      <c r="Q84">
        <f t="shared" ca="1" si="44"/>
        <v>0</v>
      </c>
      <c r="R84">
        <f t="shared" ca="1" si="45"/>
        <v>0</v>
      </c>
      <c r="S84" s="27"/>
      <c r="T84" s="7">
        <f t="shared" si="46"/>
        <v>45636</v>
      </c>
      <c r="U84" s="6">
        <f t="shared" si="47"/>
        <v>1</v>
      </c>
      <c r="V84">
        <f>COUNTIFS('2024 - L&amp;G R64 - Test Instances'!H:H,B84,'2024 - L&amp;G R64 - Test Instances'!L:L,$V$2,'2024 - L&amp;G R64 - Test Instances'!O:O,"Done")</f>
        <v>0</v>
      </c>
      <c r="W84">
        <f>COUNTIFS('2024 - L&amp;G R64 - Test Instances'!H:H,B84,'2024 - L&amp;G R64 - Test Instances'!L:L,$W$2,'2024 - L&amp;G R64 - Test Instances'!O:O,"Done")</f>
        <v>0</v>
      </c>
      <c r="X84">
        <f>COUNTIFS('2024 - L&amp;G R64 - Test Instances'!H:H,B84,'2024 - L&amp;G R64 - Test Instances'!L:L,$X$2,'2024 - L&amp;G R64 - Test Instances'!O:O,"Done")</f>
        <v>0</v>
      </c>
      <c r="Y84" s="27">
        <v>8</v>
      </c>
      <c r="Z84" s="29" t="str">
        <f ca="1">IF(B84&gt;TODAY(),"",SUM($V$3:V84)/SUM($D$3:D84))</f>
        <v/>
      </c>
      <c r="AA84" s="29" t="str">
        <f ca="1">IF(B84&gt;TODAY(),"",SUM($W$3:W84)/SUM($E$3:E84))</f>
        <v/>
      </c>
      <c r="AB84" s="29" t="str">
        <f ca="1">IF(B84&gt;TODAY(),"",SUM($X$3:X84)/SUM($F$3:F84))</f>
        <v/>
      </c>
      <c r="AC84" s="27"/>
      <c r="AD84" s="7">
        <f t="shared" si="48"/>
        <v>45636</v>
      </c>
      <c r="AE84" s="29">
        <f t="shared" si="49"/>
        <v>16</v>
      </c>
      <c r="AF84" s="37">
        <f t="shared" si="50"/>
        <v>0</v>
      </c>
      <c r="AG84" s="29">
        <f t="shared" ca="1" si="51"/>
        <v>0</v>
      </c>
      <c r="AH84" s="27"/>
      <c r="AI84" s="7">
        <f t="shared" si="52"/>
        <v>45636</v>
      </c>
      <c r="AJ84" s="15">
        <f t="shared" si="62"/>
        <v>-542</v>
      </c>
      <c r="AK84" s="15" t="str">
        <f t="shared" ca="1" si="59"/>
        <v/>
      </c>
      <c r="AL84" s="27"/>
      <c r="AM84" s="11">
        <f t="shared" si="53"/>
        <v>45636</v>
      </c>
      <c r="AN84" s="28">
        <f t="shared" ca="1" si="63"/>
        <v>0</v>
      </c>
      <c r="AO84" s="28">
        <f t="shared" ca="1" si="64"/>
        <v>0</v>
      </c>
      <c r="AP84">
        <f t="shared" si="54"/>
        <v>0</v>
      </c>
      <c r="AQ84" s="11">
        <f t="shared" ca="1" si="23"/>
        <v>45612.2</v>
      </c>
      <c r="AR84" s="29" t="e">
        <f ca="1">AK84/(NETWORKDAYS(B84,$AU$1,Days!$A$11:$A$25)-1)</f>
        <v>#VALUE!</v>
      </c>
      <c r="AS84" s="29" t="e">
        <f t="shared" ca="1" si="60"/>
        <v>#VALUE!</v>
      </c>
      <c r="AT84" s="27"/>
      <c r="AV84" s="10">
        <f t="shared" si="55"/>
        <v>0</v>
      </c>
      <c r="AW84" s="10">
        <f t="shared" si="56"/>
        <v>0</v>
      </c>
      <c r="AX84" s="10">
        <f t="shared" si="57"/>
        <v>0</v>
      </c>
      <c r="AY84" s="7">
        <f t="shared" si="58"/>
        <v>45636</v>
      </c>
      <c r="AZ84" t="str">
        <f ca="1">IF(B84&gt;TODAY(),"",SUM($V$3:V84)/SUM($AV$3:AV84))</f>
        <v/>
      </c>
      <c r="BA84" t="str">
        <f ca="1">IF(B84&gt;TODAY(),"",SUM($W$3:W84)/SUM($AW$3:AW84))</f>
        <v/>
      </c>
      <c r="BB84" t="str">
        <f ca="1">IF(B84&gt;TODAY(),"",SUM($X$3:X84)/SUM($AX$3:AX84))</f>
        <v/>
      </c>
    </row>
    <row r="85" spans="1:54" x14ac:dyDescent="0.25">
      <c r="A85" s="6" t="str">
        <f>VLOOKUP(WEEKDAY(B85,2),Days!$A$1:$B$7,2,0)</f>
        <v>Wed</v>
      </c>
      <c r="B85" s="7">
        <f t="shared" si="61"/>
        <v>45637</v>
      </c>
      <c r="C85" s="6">
        <f>IF(AND(A85&lt;&gt;"Sat",A85&lt;&gt;"Sun",ISERROR(VLOOKUP(B85,Days!$A$10:$A$38,1,0))),1,(IF(AF85&lt;&gt;0,1,0)))</f>
        <v>1</v>
      </c>
      <c r="D85" s="10"/>
      <c r="E85" s="10"/>
      <c r="F85" s="10"/>
      <c r="G85" s="27"/>
      <c r="H85" s="10">
        <v>1</v>
      </c>
      <c r="I85" s="10">
        <v>1</v>
      </c>
      <c r="J85" s="10">
        <v>0</v>
      </c>
      <c r="K85" s="27"/>
      <c r="L85">
        <f>$C85*H85*Days!$F$1</f>
        <v>8</v>
      </c>
      <c r="M85">
        <f>$C85*I85*Days!$F$1</f>
        <v>8</v>
      </c>
      <c r="N85">
        <f>$C85*J85*Days!$F$1</f>
        <v>0</v>
      </c>
      <c r="O85" s="27"/>
      <c r="P85">
        <f t="shared" ca="1" si="43"/>
        <v>0</v>
      </c>
      <c r="Q85">
        <f t="shared" ca="1" si="44"/>
        <v>0</v>
      </c>
      <c r="R85">
        <f t="shared" ca="1" si="45"/>
        <v>0</v>
      </c>
      <c r="S85" s="27"/>
      <c r="T85" s="7">
        <f t="shared" si="46"/>
        <v>45637</v>
      </c>
      <c r="U85" s="6">
        <f t="shared" si="47"/>
        <v>1</v>
      </c>
      <c r="V85">
        <f>COUNTIFS('2024 - L&amp;G R64 - Test Instances'!H:H,B85,'2024 - L&amp;G R64 - Test Instances'!L:L,$V$2,'2024 - L&amp;G R64 - Test Instances'!O:O,"Done")</f>
        <v>0</v>
      </c>
      <c r="W85">
        <f>COUNTIFS('2024 - L&amp;G R64 - Test Instances'!H:H,B85,'2024 - L&amp;G R64 - Test Instances'!L:L,$W$2,'2024 - L&amp;G R64 - Test Instances'!O:O,"Done")</f>
        <v>0</v>
      </c>
      <c r="X85">
        <f>COUNTIFS('2024 - L&amp;G R64 - Test Instances'!H:H,B85,'2024 - L&amp;G R64 - Test Instances'!L:L,$X$2,'2024 - L&amp;G R64 - Test Instances'!O:O,"Done")</f>
        <v>0</v>
      </c>
      <c r="Y85" s="27">
        <v>8</v>
      </c>
      <c r="Z85" s="29" t="str">
        <f ca="1">IF(B85&gt;TODAY(),"",SUM($V$3:V85)/SUM($D$3:D85))</f>
        <v/>
      </c>
      <c r="AA85" s="29" t="str">
        <f ca="1">IF(B85&gt;TODAY(),"",SUM($W$3:W85)/SUM($E$3:E85))</f>
        <v/>
      </c>
      <c r="AB85" s="29" t="str">
        <f ca="1">IF(B85&gt;TODAY(),"",SUM($X$3:X85)/SUM($F$3:F85))</f>
        <v/>
      </c>
      <c r="AC85" s="27"/>
      <c r="AD85" s="7">
        <f t="shared" si="48"/>
        <v>45637</v>
      </c>
      <c r="AE85" s="29">
        <f t="shared" si="49"/>
        <v>16</v>
      </c>
      <c r="AF85" s="37">
        <f t="shared" si="50"/>
        <v>0</v>
      </c>
      <c r="AG85" s="29">
        <f t="shared" ca="1" si="51"/>
        <v>0</v>
      </c>
      <c r="AH85" s="27"/>
      <c r="AI85" s="7">
        <f t="shared" si="52"/>
        <v>45637</v>
      </c>
      <c r="AJ85" s="15">
        <f t="shared" si="62"/>
        <v>-558</v>
      </c>
      <c r="AK85" s="15" t="str">
        <f t="shared" ca="1" si="59"/>
        <v/>
      </c>
      <c r="AL85" s="27"/>
      <c r="AM85" s="11">
        <f t="shared" si="53"/>
        <v>45637</v>
      </c>
      <c r="AN85" s="28">
        <f t="shared" ca="1" si="63"/>
        <v>0</v>
      </c>
      <c r="AO85" s="28">
        <f t="shared" ca="1" si="64"/>
        <v>0</v>
      </c>
      <c r="AP85">
        <f t="shared" si="54"/>
        <v>0</v>
      </c>
      <c r="AQ85" s="11">
        <f t="shared" ca="1" si="23"/>
        <v>45612.2</v>
      </c>
      <c r="AR85" s="29" t="e">
        <f ca="1">AK85/(NETWORKDAYS(B85,$AU$1,Days!$A$11:$A$25)-1)</f>
        <v>#VALUE!</v>
      </c>
      <c r="AS85" s="29" t="e">
        <f t="shared" ca="1" si="60"/>
        <v>#VALUE!</v>
      </c>
      <c r="AT85" s="27"/>
      <c r="AV85" s="10">
        <f t="shared" si="55"/>
        <v>0</v>
      </c>
      <c r="AW85" s="10">
        <f t="shared" si="56"/>
        <v>0</v>
      </c>
      <c r="AX85" s="10">
        <f t="shared" si="57"/>
        <v>0</v>
      </c>
      <c r="AY85" s="7">
        <f t="shared" si="58"/>
        <v>45637</v>
      </c>
      <c r="AZ85" t="str">
        <f ca="1">IF(B85&gt;TODAY(),"",SUM($V$3:V85)/SUM($AV$3:AV85))</f>
        <v/>
      </c>
      <c r="BA85" t="str">
        <f ca="1">IF(B85&gt;TODAY(),"",SUM($W$3:W85)/SUM($AW$3:AW85))</f>
        <v/>
      </c>
      <c r="BB85" t="str">
        <f ca="1">IF(B85&gt;TODAY(),"",SUM($X$3:X85)/SUM($AX$3:AX85))</f>
        <v/>
      </c>
    </row>
    <row r="86" spans="1:54" x14ac:dyDescent="0.25">
      <c r="A86" s="6" t="str">
        <f>VLOOKUP(WEEKDAY(B86,2),Days!$A$1:$B$7,2,0)</f>
        <v>Thu</v>
      </c>
      <c r="B86" s="7">
        <f t="shared" si="61"/>
        <v>45638</v>
      </c>
      <c r="C86" s="6">
        <f>IF(AND(A86&lt;&gt;"Sat",A86&lt;&gt;"Sun",ISERROR(VLOOKUP(B86,Days!$A$10:$A$38,1,0))),1,(IF(AF86&lt;&gt;0,1,0)))</f>
        <v>1</v>
      </c>
      <c r="D86" s="10"/>
      <c r="E86" s="10"/>
      <c r="F86" s="10"/>
      <c r="G86" s="27"/>
      <c r="H86" s="10">
        <v>1</v>
      </c>
      <c r="I86" s="10">
        <v>1</v>
      </c>
      <c r="J86" s="10">
        <v>0</v>
      </c>
      <c r="K86" s="27"/>
      <c r="L86">
        <f>$C86*H86*Days!$F$1</f>
        <v>8</v>
      </c>
      <c r="M86">
        <f>$C86*I86*Days!$F$1</f>
        <v>8</v>
      </c>
      <c r="N86">
        <f>$C86*J86*Days!$F$1</f>
        <v>0</v>
      </c>
      <c r="O86" s="27"/>
      <c r="P86">
        <f t="shared" ca="1" si="43"/>
        <v>0</v>
      </c>
      <c r="Q86">
        <f t="shared" ca="1" si="44"/>
        <v>0</v>
      </c>
      <c r="R86">
        <f t="shared" ca="1" si="45"/>
        <v>0</v>
      </c>
      <c r="S86" s="27"/>
      <c r="T86" s="7">
        <f t="shared" si="46"/>
        <v>45638</v>
      </c>
      <c r="U86" s="6">
        <f t="shared" si="47"/>
        <v>1</v>
      </c>
      <c r="V86">
        <f>COUNTIFS('2024 - L&amp;G R64 - Test Instances'!H:H,B86,'2024 - L&amp;G R64 - Test Instances'!L:L,$V$2,'2024 - L&amp;G R64 - Test Instances'!O:O,"Done")</f>
        <v>0</v>
      </c>
      <c r="W86">
        <f>COUNTIFS('2024 - L&amp;G R64 - Test Instances'!H:H,B86,'2024 - L&amp;G R64 - Test Instances'!L:L,$W$2,'2024 - L&amp;G R64 - Test Instances'!O:O,"Done")</f>
        <v>0</v>
      </c>
      <c r="X86">
        <f>COUNTIFS('2024 - L&amp;G R64 - Test Instances'!H:H,B86,'2024 - L&amp;G R64 - Test Instances'!L:L,$X$2,'2024 - L&amp;G R64 - Test Instances'!O:O,"Done")</f>
        <v>0</v>
      </c>
      <c r="Y86" s="27">
        <v>8</v>
      </c>
      <c r="Z86" s="29" t="str">
        <f ca="1">IF(B86&gt;TODAY(),"",SUM($V$3:V86)/SUM($D$3:D86))</f>
        <v/>
      </c>
      <c r="AA86" s="29" t="str">
        <f ca="1">IF(B86&gt;TODAY(),"",SUM($W$3:W86)/SUM($E$3:E86))</f>
        <v/>
      </c>
      <c r="AB86" s="29" t="str">
        <f ca="1">IF(B86&gt;TODAY(),"",SUM($X$3:X86)/SUM($F$3:F86))</f>
        <v/>
      </c>
      <c r="AC86" s="27"/>
      <c r="AD86" s="7">
        <f t="shared" si="48"/>
        <v>45638</v>
      </c>
      <c r="AE86" s="29">
        <f t="shared" si="49"/>
        <v>16</v>
      </c>
      <c r="AF86" s="37">
        <f t="shared" si="50"/>
        <v>0</v>
      </c>
      <c r="AG86" s="29">
        <f t="shared" ca="1" si="51"/>
        <v>0</v>
      </c>
      <c r="AH86" s="27"/>
      <c r="AI86" s="7">
        <f t="shared" si="52"/>
        <v>45638</v>
      </c>
      <c r="AJ86" s="15">
        <f t="shared" si="62"/>
        <v>-574</v>
      </c>
      <c r="AK86" s="15" t="str">
        <f t="shared" ca="1" si="59"/>
        <v/>
      </c>
      <c r="AL86" s="27"/>
      <c r="AM86" s="11">
        <f t="shared" si="53"/>
        <v>45638</v>
      </c>
      <c r="AN86" s="28">
        <f t="shared" ca="1" si="63"/>
        <v>0</v>
      </c>
      <c r="AO86" s="28">
        <f t="shared" ca="1" si="64"/>
        <v>0</v>
      </c>
      <c r="AP86">
        <f t="shared" si="54"/>
        <v>0</v>
      </c>
      <c r="AQ86" s="11">
        <f t="shared" ca="1" si="23"/>
        <v>45612.2</v>
      </c>
      <c r="AR86" s="29" t="e">
        <f ca="1">AK86/(NETWORKDAYS(B86,$AU$1,Days!$A$11:$A$25)-1)</f>
        <v>#VALUE!</v>
      </c>
      <c r="AS86" s="29" t="e">
        <f t="shared" ca="1" si="60"/>
        <v>#VALUE!</v>
      </c>
      <c r="AT86" s="27"/>
      <c r="AV86" s="10">
        <f t="shared" si="55"/>
        <v>0</v>
      </c>
      <c r="AW86" s="10">
        <f t="shared" si="56"/>
        <v>0</v>
      </c>
      <c r="AX86" s="10">
        <f t="shared" si="57"/>
        <v>0</v>
      </c>
      <c r="AY86" s="7">
        <f t="shared" si="58"/>
        <v>45638</v>
      </c>
      <c r="AZ86" t="str">
        <f ca="1">IF(B86&gt;TODAY(),"",SUM($V$3:V86)/SUM($AV$3:AV86))</f>
        <v/>
      </c>
      <c r="BA86" t="str">
        <f ca="1">IF(B86&gt;TODAY(),"",SUM($W$3:W86)/SUM($AW$3:AW86))</f>
        <v/>
      </c>
      <c r="BB86" t="str">
        <f ca="1">IF(B86&gt;TODAY(),"",SUM($X$3:X86)/SUM($AX$3:AX86))</f>
        <v/>
      </c>
    </row>
    <row r="87" spans="1:54" x14ac:dyDescent="0.25">
      <c r="A87" s="6" t="str">
        <f>VLOOKUP(WEEKDAY(B87,2),Days!$A$1:$B$7,2,0)</f>
        <v>Fri</v>
      </c>
      <c r="B87" s="7">
        <f t="shared" si="61"/>
        <v>45639</v>
      </c>
      <c r="C87" s="6">
        <f>IF(AND(A87&lt;&gt;"Sat",A87&lt;&gt;"Sun",ISERROR(VLOOKUP(B87,Days!$A$10:$A$38,1,0))),1,(IF(AF87&lt;&gt;0,1,0)))</f>
        <v>1</v>
      </c>
      <c r="D87" s="10"/>
      <c r="E87" s="10"/>
      <c r="F87" s="10"/>
      <c r="G87" s="27"/>
      <c r="H87" s="10">
        <v>1</v>
      </c>
      <c r="I87" s="10">
        <v>1</v>
      </c>
      <c r="J87" s="10">
        <v>0</v>
      </c>
      <c r="K87" s="27"/>
      <c r="L87">
        <f>$C87*H87*Days!$F$1</f>
        <v>8</v>
      </c>
      <c r="M87">
        <f>$C87*I87*Days!$F$1</f>
        <v>8</v>
      </c>
      <c r="N87">
        <f>$C87*J87*Days!$F$1</f>
        <v>0</v>
      </c>
      <c r="O87" s="27"/>
      <c r="P87">
        <f t="shared" ca="1" si="43"/>
        <v>0</v>
      </c>
      <c r="Q87">
        <f t="shared" ca="1" si="44"/>
        <v>0</v>
      </c>
      <c r="R87">
        <f t="shared" ca="1" si="45"/>
        <v>0</v>
      </c>
      <c r="S87" s="27"/>
      <c r="T87" s="7">
        <f t="shared" si="46"/>
        <v>45639</v>
      </c>
      <c r="U87" s="6">
        <f t="shared" si="47"/>
        <v>1</v>
      </c>
      <c r="V87">
        <f>COUNTIFS('2024 - L&amp;G R64 - Test Instances'!H:H,B87,'2024 - L&amp;G R64 - Test Instances'!L:L,$V$2,'2024 - L&amp;G R64 - Test Instances'!O:O,"Done")</f>
        <v>0</v>
      </c>
      <c r="W87">
        <f>COUNTIFS('2024 - L&amp;G R64 - Test Instances'!H:H,B87,'2024 - L&amp;G R64 - Test Instances'!L:L,$W$2,'2024 - L&amp;G R64 - Test Instances'!O:O,"Done")</f>
        <v>0</v>
      </c>
      <c r="X87">
        <f>COUNTIFS('2024 - L&amp;G R64 - Test Instances'!H:H,B87,'2024 - L&amp;G R64 - Test Instances'!L:L,$X$2,'2024 - L&amp;G R64 - Test Instances'!O:O,"Done")</f>
        <v>0</v>
      </c>
      <c r="Y87" s="27">
        <v>8</v>
      </c>
      <c r="Z87" s="29" t="str">
        <f ca="1">IF(B87&gt;TODAY(),"",SUM($V$3:V87)/SUM($D$3:D87))</f>
        <v/>
      </c>
      <c r="AA87" s="29" t="str">
        <f ca="1">IF(B87&gt;TODAY(),"",SUM($W$3:W87)/SUM($E$3:E87))</f>
        <v/>
      </c>
      <c r="AB87" s="29" t="str">
        <f ca="1">IF(B87&gt;TODAY(),"",SUM($X$3:X87)/SUM($F$3:F87))</f>
        <v/>
      </c>
      <c r="AC87" s="27"/>
      <c r="AD87" s="7">
        <f t="shared" si="48"/>
        <v>45639</v>
      </c>
      <c r="AE87" s="29">
        <f t="shared" si="49"/>
        <v>16</v>
      </c>
      <c r="AF87" s="37">
        <f t="shared" si="50"/>
        <v>0</v>
      </c>
      <c r="AG87" s="29">
        <f t="shared" ca="1" si="51"/>
        <v>0</v>
      </c>
      <c r="AH87" s="27"/>
      <c r="AI87" s="7">
        <f t="shared" si="52"/>
        <v>45639</v>
      </c>
      <c r="AJ87" s="15">
        <f t="shared" si="62"/>
        <v>-590</v>
      </c>
      <c r="AK87" s="15" t="str">
        <f t="shared" ca="1" si="59"/>
        <v/>
      </c>
      <c r="AL87" s="27"/>
      <c r="AM87" s="11">
        <f t="shared" si="53"/>
        <v>45639</v>
      </c>
      <c r="AN87" s="28">
        <f t="shared" ca="1" si="63"/>
        <v>0</v>
      </c>
      <c r="AO87" s="28">
        <f t="shared" ca="1" si="64"/>
        <v>0</v>
      </c>
      <c r="AP87">
        <f t="shared" si="54"/>
        <v>0</v>
      </c>
      <c r="AQ87" s="11">
        <f t="shared" ref="AQ87:AQ96" ca="1" si="65">IF(ISERROR(B87+(AK87/AN87)*(7/5)),AQ86,(B87+(AK87/AN87)*(7/5)))</f>
        <v>45612.2</v>
      </c>
      <c r="AR87" s="29" t="e">
        <f ca="1">AK87/(NETWORKDAYS(B87,$AU$1,Days!$A$11:$A$25)-1)</f>
        <v>#VALUE!</v>
      </c>
      <c r="AS87" s="29" t="e">
        <f t="shared" ca="1" si="60"/>
        <v>#VALUE!</v>
      </c>
      <c r="AT87" s="27"/>
      <c r="AV87" s="10">
        <f t="shared" si="55"/>
        <v>0</v>
      </c>
      <c r="AW87" s="10">
        <f t="shared" si="56"/>
        <v>0</v>
      </c>
      <c r="AX87" s="10">
        <f t="shared" si="57"/>
        <v>0</v>
      </c>
      <c r="AY87" s="7">
        <f t="shared" si="58"/>
        <v>45639</v>
      </c>
      <c r="AZ87" t="str">
        <f ca="1">IF(B87&gt;TODAY(),"",SUM($V$3:V87)/SUM($AV$3:AV87))</f>
        <v/>
      </c>
      <c r="BA87" t="str">
        <f ca="1">IF(B87&gt;TODAY(),"",SUM($W$3:W87)/SUM($AW$3:AW87))</f>
        <v/>
      </c>
      <c r="BB87" t="str">
        <f ca="1">IF(B87&gt;TODAY(),"",SUM($X$3:X87)/SUM($AX$3:AX87))</f>
        <v/>
      </c>
    </row>
    <row r="88" spans="1:54" x14ac:dyDescent="0.25">
      <c r="A88" s="6" t="str">
        <f>VLOOKUP(WEEKDAY(B88,2),Days!$A$1:$B$7,2,0)</f>
        <v>Sat</v>
      </c>
      <c r="B88" s="7">
        <f t="shared" si="61"/>
        <v>45640</v>
      </c>
      <c r="C88" s="6">
        <f>IF(AND(A88&lt;&gt;"Sat",A88&lt;&gt;"Sun",ISERROR(VLOOKUP(B88,Days!$A$10:$A$38,1,0))),1,(IF(AF88&lt;&gt;0,1,0)))</f>
        <v>0</v>
      </c>
      <c r="D88" s="10"/>
      <c r="E88" s="10"/>
      <c r="F88" s="10"/>
      <c r="G88" s="27"/>
      <c r="H88" s="10">
        <v>0</v>
      </c>
      <c r="I88" s="10">
        <v>0</v>
      </c>
      <c r="J88" s="10">
        <v>0</v>
      </c>
      <c r="K88" s="27"/>
      <c r="L88">
        <f>$C88*H88*Days!$F$1</f>
        <v>0</v>
      </c>
      <c r="M88">
        <f>$C88*I88*Days!$F$1</f>
        <v>0</v>
      </c>
      <c r="N88">
        <f>$C88*J88*Days!$F$1</f>
        <v>0</v>
      </c>
      <c r="O88" s="27"/>
      <c r="P88">
        <f t="shared" ca="1" si="43"/>
        <v>0</v>
      </c>
      <c r="Q88">
        <f t="shared" ca="1" si="44"/>
        <v>0</v>
      </c>
      <c r="R88">
        <f t="shared" ca="1" si="45"/>
        <v>0</v>
      </c>
      <c r="S88" s="27"/>
      <c r="T88" s="7">
        <f t="shared" si="46"/>
        <v>45640</v>
      </c>
      <c r="U88" s="6">
        <f t="shared" si="47"/>
        <v>0</v>
      </c>
      <c r="V88">
        <f>COUNTIFS('2024 - L&amp;G R64 - Test Instances'!H:H,B88,'2024 - L&amp;G R64 - Test Instances'!L:L,$V$2,'2024 - L&amp;G R64 - Test Instances'!O:O,"Done")</f>
        <v>0</v>
      </c>
      <c r="W88">
        <f>COUNTIFS('2024 - L&amp;G R64 - Test Instances'!H:H,B88,'2024 - L&amp;G R64 - Test Instances'!L:L,$W$2,'2024 - L&amp;G R64 - Test Instances'!O:O,"Done")</f>
        <v>0</v>
      </c>
      <c r="X88">
        <f>COUNTIFS('2024 - L&amp;G R64 - Test Instances'!H:H,B88,'2024 - L&amp;G R64 - Test Instances'!L:L,$X$2,'2024 - L&amp;G R64 - Test Instances'!O:O,"Done")</f>
        <v>0</v>
      </c>
      <c r="Y88" s="27">
        <v>8</v>
      </c>
      <c r="Z88" s="29" t="str">
        <f ca="1">IF(B88&gt;TODAY(),"",SUM($V$3:V88)/SUM($D$3:D88))</f>
        <v/>
      </c>
      <c r="AA88" s="29" t="str">
        <f ca="1">IF(B88&gt;TODAY(),"",SUM($W$3:W88)/SUM($E$3:E88))</f>
        <v/>
      </c>
      <c r="AB88" s="29" t="str">
        <f ca="1">IF(B88&gt;TODAY(),"",SUM($X$3:X88)/SUM($F$3:F88))</f>
        <v/>
      </c>
      <c r="AC88" s="27"/>
      <c r="AD88" s="7">
        <f t="shared" si="48"/>
        <v>45640</v>
      </c>
      <c r="AE88" s="29">
        <f t="shared" si="49"/>
        <v>0</v>
      </c>
      <c r="AF88" s="37">
        <f t="shared" si="50"/>
        <v>0</v>
      </c>
      <c r="AG88" s="29">
        <f t="shared" ca="1" si="51"/>
        <v>0</v>
      </c>
      <c r="AH88" s="27"/>
      <c r="AI88" s="7">
        <f t="shared" si="52"/>
        <v>45640</v>
      </c>
      <c r="AJ88" s="15">
        <f t="shared" si="62"/>
        <v>-590</v>
      </c>
      <c r="AK88" s="15" t="str">
        <f t="shared" ca="1" si="59"/>
        <v/>
      </c>
      <c r="AL88" s="27"/>
      <c r="AM88" s="11">
        <f t="shared" si="53"/>
        <v>45640</v>
      </c>
      <c r="AN88" s="28">
        <f t="shared" ca="1" si="63"/>
        <v>0</v>
      </c>
      <c r="AO88" s="28">
        <f t="shared" ca="1" si="64"/>
        <v>0</v>
      </c>
      <c r="AP88">
        <f t="shared" si="54"/>
        <v>0</v>
      </c>
      <c r="AQ88" s="11">
        <f t="shared" ca="1" si="65"/>
        <v>45612.2</v>
      </c>
      <c r="AR88" s="29" t="e">
        <f ca="1">AK88/(NETWORKDAYS(B88,$AU$1,Days!$A$11:$A$25)-1)</f>
        <v>#VALUE!</v>
      </c>
      <c r="AS88" s="29" t="e">
        <f t="shared" ca="1" si="60"/>
        <v>#VALUE!</v>
      </c>
      <c r="AT88" s="27"/>
      <c r="AV88" s="10">
        <f t="shared" si="55"/>
        <v>0</v>
      </c>
      <c r="AW88" s="10">
        <f t="shared" si="56"/>
        <v>0</v>
      </c>
      <c r="AX88" s="10">
        <f t="shared" si="57"/>
        <v>0</v>
      </c>
      <c r="AY88" s="7">
        <f t="shared" si="58"/>
        <v>45640</v>
      </c>
      <c r="AZ88" t="str">
        <f ca="1">IF(B88&gt;TODAY(),"",SUM($V$3:V88)/SUM($AV$3:AV88))</f>
        <v/>
      </c>
      <c r="BA88" t="str">
        <f ca="1">IF(B88&gt;TODAY(),"",SUM($W$3:W88)/SUM($AW$3:AW88))</f>
        <v/>
      </c>
      <c r="BB88" t="str">
        <f ca="1">IF(B88&gt;TODAY(),"",SUM($X$3:X88)/SUM($AX$3:AX88))</f>
        <v/>
      </c>
    </row>
    <row r="89" spans="1:54" x14ac:dyDescent="0.25">
      <c r="A89" s="6" t="str">
        <f>VLOOKUP(WEEKDAY(B89,2),Days!$A$1:$B$7,2,0)</f>
        <v>Sun</v>
      </c>
      <c r="B89" s="7">
        <f t="shared" si="61"/>
        <v>45641</v>
      </c>
      <c r="C89" s="6">
        <f>IF(AND(A89&lt;&gt;"Sat",A89&lt;&gt;"Sun",ISERROR(VLOOKUP(B89,Days!$A$10:$A$38,1,0))),1,(IF(AF89&lt;&gt;0,1,0)))</f>
        <v>0</v>
      </c>
      <c r="D89" s="10"/>
      <c r="E89" s="10"/>
      <c r="F89" s="10"/>
      <c r="G89" s="27"/>
      <c r="H89" s="10">
        <v>0</v>
      </c>
      <c r="I89" s="10">
        <v>0</v>
      </c>
      <c r="J89" s="10">
        <v>0</v>
      </c>
      <c r="K89" s="27"/>
      <c r="L89">
        <f>$C89*H89*Days!$F$1</f>
        <v>0</v>
      </c>
      <c r="M89">
        <f>$C89*I89*Days!$F$1</f>
        <v>0</v>
      </c>
      <c r="N89">
        <f>$C89*J89*Days!$F$1</f>
        <v>0</v>
      </c>
      <c r="O89" s="27"/>
      <c r="P89">
        <f t="shared" ca="1" si="43"/>
        <v>0</v>
      </c>
      <c r="Q89">
        <f t="shared" ca="1" si="44"/>
        <v>0</v>
      </c>
      <c r="R89">
        <f t="shared" ca="1" si="45"/>
        <v>0</v>
      </c>
      <c r="S89" s="27"/>
      <c r="T89" s="7">
        <f t="shared" si="46"/>
        <v>45641</v>
      </c>
      <c r="U89" s="6">
        <f t="shared" si="47"/>
        <v>0</v>
      </c>
      <c r="V89">
        <f>COUNTIFS('2024 - L&amp;G R64 - Test Instances'!H:H,B89,'2024 - L&amp;G R64 - Test Instances'!L:L,$V$2,'2024 - L&amp;G R64 - Test Instances'!O:O,"Done")</f>
        <v>0</v>
      </c>
      <c r="W89">
        <f>COUNTIFS('2024 - L&amp;G R64 - Test Instances'!H:H,B89,'2024 - L&amp;G R64 - Test Instances'!L:L,$W$2,'2024 - L&amp;G R64 - Test Instances'!O:O,"Done")</f>
        <v>0</v>
      </c>
      <c r="X89">
        <f>COUNTIFS('2024 - L&amp;G R64 - Test Instances'!H:H,B89,'2024 - L&amp;G R64 - Test Instances'!L:L,$X$2,'2024 - L&amp;G R64 - Test Instances'!O:O,"Done")</f>
        <v>0</v>
      </c>
      <c r="Y89" s="27">
        <v>8</v>
      </c>
      <c r="Z89" s="29" t="str">
        <f ca="1">IF(B89&gt;TODAY(),"",SUM($V$3:V89)/SUM($D$3:D89))</f>
        <v/>
      </c>
      <c r="AA89" s="29" t="str">
        <f ca="1">IF(B89&gt;TODAY(),"",SUM($W$3:W89)/SUM($E$3:E89))</f>
        <v/>
      </c>
      <c r="AB89" s="29" t="str">
        <f ca="1">IF(B89&gt;TODAY(),"",SUM($X$3:X89)/SUM($F$3:F89))</f>
        <v/>
      </c>
      <c r="AC89" s="27"/>
      <c r="AD89" s="7">
        <f t="shared" si="48"/>
        <v>45641</v>
      </c>
      <c r="AE89" s="29">
        <f t="shared" si="49"/>
        <v>0</v>
      </c>
      <c r="AF89" s="37">
        <f t="shared" si="50"/>
        <v>0</v>
      </c>
      <c r="AG89" s="29">
        <f t="shared" ca="1" si="51"/>
        <v>0</v>
      </c>
      <c r="AH89" s="27"/>
      <c r="AI89" s="7">
        <f t="shared" si="52"/>
        <v>45641</v>
      </c>
      <c r="AJ89" s="15">
        <f t="shared" si="62"/>
        <v>-590</v>
      </c>
      <c r="AK89" s="15" t="str">
        <f t="shared" ca="1" si="59"/>
        <v/>
      </c>
      <c r="AL89" s="27"/>
      <c r="AM89" s="11">
        <f t="shared" si="53"/>
        <v>45641</v>
      </c>
      <c r="AN89" s="28">
        <f t="shared" ca="1" si="63"/>
        <v>0</v>
      </c>
      <c r="AO89" s="28">
        <f t="shared" ca="1" si="64"/>
        <v>0</v>
      </c>
      <c r="AP89">
        <f t="shared" si="54"/>
        <v>0</v>
      </c>
      <c r="AQ89" s="11">
        <f t="shared" ca="1" si="65"/>
        <v>45612.2</v>
      </c>
      <c r="AR89" s="29" t="e">
        <f ca="1">AK89/(NETWORKDAYS(B89,$AU$1,Days!$A$11:$A$25)-1)</f>
        <v>#VALUE!</v>
      </c>
      <c r="AS89" s="29" t="e">
        <f t="shared" ca="1" si="60"/>
        <v>#VALUE!</v>
      </c>
      <c r="AT89" s="27"/>
      <c r="AV89" s="10">
        <f t="shared" si="55"/>
        <v>0</v>
      </c>
      <c r="AW89" s="10">
        <f t="shared" si="56"/>
        <v>0</v>
      </c>
      <c r="AX89" s="10">
        <f t="shared" si="57"/>
        <v>0</v>
      </c>
      <c r="AY89" s="7">
        <f t="shared" si="58"/>
        <v>45641</v>
      </c>
      <c r="AZ89" t="str">
        <f ca="1">IF(B89&gt;TODAY(),"",SUM($V$3:V89)/SUM($AV$3:AV89))</f>
        <v/>
      </c>
      <c r="BA89" t="str">
        <f ca="1">IF(B89&gt;TODAY(),"",SUM($W$3:W89)/SUM($AW$3:AW89))</f>
        <v/>
      </c>
      <c r="BB89" t="str">
        <f ca="1">IF(B89&gt;TODAY(),"",SUM($X$3:X89)/SUM($AX$3:AX89))</f>
        <v/>
      </c>
    </row>
    <row r="90" spans="1:54" x14ac:dyDescent="0.25">
      <c r="A90" s="6" t="str">
        <f>VLOOKUP(WEEKDAY(B90,2),Days!$A$1:$B$7,2,0)</f>
        <v>Mon</v>
      </c>
      <c r="B90" s="7">
        <f t="shared" si="61"/>
        <v>45642</v>
      </c>
      <c r="C90" s="6">
        <f>IF(AND(A90&lt;&gt;"Sat",A90&lt;&gt;"Sun",ISERROR(VLOOKUP(B90,Days!$A$10:$A$38,1,0))),1,(IF(AF90&lt;&gt;0,1,0)))</f>
        <v>1</v>
      </c>
      <c r="D90" s="10"/>
      <c r="E90" s="10"/>
      <c r="F90" s="10"/>
      <c r="G90" s="27"/>
      <c r="H90" s="10">
        <v>1</v>
      </c>
      <c r="I90" s="10">
        <v>1</v>
      </c>
      <c r="J90" s="10">
        <v>0</v>
      </c>
      <c r="K90" s="27"/>
      <c r="L90">
        <f>$C90*H90*Days!$F$1</f>
        <v>8</v>
      </c>
      <c r="M90">
        <f>$C90*I90*Days!$F$1</f>
        <v>8</v>
      </c>
      <c r="N90">
        <f>$C90*J90*Days!$F$1</f>
        <v>0</v>
      </c>
      <c r="O90" s="27"/>
      <c r="P90">
        <f t="shared" ca="1" si="43"/>
        <v>0</v>
      </c>
      <c r="Q90">
        <f t="shared" ca="1" si="44"/>
        <v>0</v>
      </c>
      <c r="R90">
        <f t="shared" ca="1" si="45"/>
        <v>0</v>
      </c>
      <c r="S90" s="27"/>
      <c r="T90" s="7">
        <f t="shared" si="46"/>
        <v>45642</v>
      </c>
      <c r="U90" s="6">
        <f t="shared" si="47"/>
        <v>1</v>
      </c>
      <c r="V90">
        <f>COUNTIFS('2024 - L&amp;G R64 - Test Instances'!H:H,B90,'2024 - L&amp;G R64 - Test Instances'!L:L,$V$2,'2024 - L&amp;G R64 - Test Instances'!O:O,"Done")</f>
        <v>0</v>
      </c>
      <c r="W90">
        <f>COUNTIFS('2024 - L&amp;G R64 - Test Instances'!H:H,B90,'2024 - L&amp;G R64 - Test Instances'!L:L,$W$2,'2024 - L&amp;G R64 - Test Instances'!O:O,"Done")</f>
        <v>0</v>
      </c>
      <c r="X90">
        <f>COUNTIFS('2024 - L&amp;G R64 - Test Instances'!H:H,B90,'2024 - L&amp;G R64 - Test Instances'!L:L,$X$2,'2024 - L&amp;G R64 - Test Instances'!O:O,"Done")</f>
        <v>0</v>
      </c>
      <c r="Y90" s="27">
        <v>8</v>
      </c>
      <c r="Z90" s="29" t="str">
        <f ca="1">IF(B90&gt;TODAY(),"",SUM($V$3:V90)/SUM($D$3:D90))</f>
        <v/>
      </c>
      <c r="AA90" s="29" t="str">
        <f ca="1">IF(B90&gt;TODAY(),"",SUM($W$3:W90)/SUM($E$3:E90))</f>
        <v/>
      </c>
      <c r="AB90" s="29" t="str">
        <f ca="1">IF(B90&gt;TODAY(),"",SUM($X$3:X90)/SUM($F$3:F90))</f>
        <v/>
      </c>
      <c r="AC90" s="27"/>
      <c r="AD90" s="7">
        <f t="shared" si="48"/>
        <v>45642</v>
      </c>
      <c r="AE90" s="29">
        <f t="shared" si="49"/>
        <v>16</v>
      </c>
      <c r="AF90" s="37">
        <f t="shared" si="50"/>
        <v>0</v>
      </c>
      <c r="AG90" s="29">
        <f t="shared" ca="1" si="51"/>
        <v>0</v>
      </c>
      <c r="AH90" s="27"/>
      <c r="AI90" s="7">
        <f t="shared" si="52"/>
        <v>45642</v>
      </c>
      <c r="AJ90" s="15">
        <f t="shared" si="62"/>
        <v>-606</v>
      </c>
      <c r="AK90" s="15" t="str">
        <f t="shared" ca="1" si="59"/>
        <v/>
      </c>
      <c r="AL90" s="27"/>
      <c r="AM90" s="11">
        <f t="shared" si="53"/>
        <v>45642</v>
      </c>
      <c r="AN90" s="28">
        <f t="shared" ca="1" si="63"/>
        <v>0</v>
      </c>
      <c r="AO90" s="28">
        <f t="shared" ca="1" si="64"/>
        <v>0</v>
      </c>
      <c r="AP90">
        <f t="shared" si="54"/>
        <v>0</v>
      </c>
      <c r="AQ90" s="11">
        <f t="shared" ca="1" si="65"/>
        <v>45612.2</v>
      </c>
      <c r="AR90" s="29" t="e">
        <f ca="1">AK90/(NETWORKDAYS(B90,$AU$1,Days!$A$11:$A$25)-1)</f>
        <v>#VALUE!</v>
      </c>
      <c r="AS90" s="29" t="e">
        <f t="shared" ca="1" si="60"/>
        <v>#VALUE!</v>
      </c>
      <c r="AT90" s="27"/>
      <c r="AV90" s="10">
        <f t="shared" si="55"/>
        <v>0</v>
      </c>
      <c r="AW90" s="10">
        <f t="shared" si="56"/>
        <v>0</v>
      </c>
      <c r="AX90" s="10">
        <f t="shared" si="57"/>
        <v>0</v>
      </c>
      <c r="AY90" s="7">
        <f t="shared" si="58"/>
        <v>45642</v>
      </c>
      <c r="AZ90" t="str">
        <f ca="1">IF(B90&gt;TODAY(),"",SUM($V$3:V90)/SUM($AV$3:AV90))</f>
        <v/>
      </c>
      <c r="BA90" t="str">
        <f ca="1">IF(B90&gt;TODAY(),"",SUM($W$3:W90)/SUM($AW$3:AW90))</f>
        <v/>
      </c>
      <c r="BB90" t="str">
        <f ca="1">IF(B90&gt;TODAY(),"",SUM($X$3:X90)/SUM($AX$3:AX90))</f>
        <v/>
      </c>
    </row>
    <row r="91" spans="1:54" x14ac:dyDescent="0.25">
      <c r="A91" s="6" t="str">
        <f>VLOOKUP(WEEKDAY(B91,2),Days!$A$1:$B$7,2,0)</f>
        <v>Tue</v>
      </c>
      <c r="B91" s="7">
        <f t="shared" si="61"/>
        <v>45643</v>
      </c>
      <c r="C91" s="6">
        <f>IF(AND(A91&lt;&gt;"Sat",A91&lt;&gt;"Sun",ISERROR(VLOOKUP(B91,Days!$A$10:$A$38,1,0))),1,(IF(AF91&lt;&gt;0,1,0)))</f>
        <v>1</v>
      </c>
      <c r="D91" s="10"/>
      <c r="E91" s="10"/>
      <c r="F91" s="10"/>
      <c r="G91" s="27"/>
      <c r="H91" s="10">
        <v>1</v>
      </c>
      <c r="I91" s="10">
        <v>1</v>
      </c>
      <c r="J91" s="10">
        <v>0</v>
      </c>
      <c r="K91" s="27"/>
      <c r="L91">
        <f>$C91*H91*Days!$F$1</f>
        <v>8</v>
      </c>
      <c r="M91">
        <f>$C91*I91*Days!$F$1</f>
        <v>8</v>
      </c>
      <c r="N91">
        <f>$C91*J91*Days!$F$1</f>
        <v>0</v>
      </c>
      <c r="O91" s="27"/>
      <c r="P91">
        <f t="shared" ca="1" si="43"/>
        <v>0</v>
      </c>
      <c r="Q91">
        <f t="shared" ca="1" si="44"/>
        <v>0</v>
      </c>
      <c r="R91">
        <f t="shared" ca="1" si="45"/>
        <v>0</v>
      </c>
      <c r="S91" s="27"/>
      <c r="T91" s="7">
        <f t="shared" si="46"/>
        <v>45643</v>
      </c>
      <c r="U91" s="6">
        <f t="shared" si="47"/>
        <v>1</v>
      </c>
      <c r="V91">
        <f>COUNTIFS('2024 - L&amp;G R64 - Test Instances'!H:H,B91,'2024 - L&amp;G R64 - Test Instances'!L:L,$V$2,'2024 - L&amp;G R64 - Test Instances'!O:O,"Done")</f>
        <v>0</v>
      </c>
      <c r="W91">
        <f>COUNTIFS('2024 - L&amp;G R64 - Test Instances'!H:H,B91,'2024 - L&amp;G R64 - Test Instances'!L:L,$W$2,'2024 - L&amp;G R64 - Test Instances'!O:O,"Done")</f>
        <v>0</v>
      </c>
      <c r="X91">
        <f>COUNTIFS('2024 - L&amp;G R64 - Test Instances'!H:H,B91,'2024 - L&amp;G R64 - Test Instances'!L:L,$X$2,'2024 - L&amp;G R64 - Test Instances'!O:O,"Done")</f>
        <v>0</v>
      </c>
      <c r="Y91" s="27">
        <v>8</v>
      </c>
      <c r="Z91" s="29" t="str">
        <f ca="1">IF(B91&gt;TODAY(),"",SUM($V$3:V91)/SUM($D$3:D91))</f>
        <v/>
      </c>
      <c r="AA91" s="29" t="str">
        <f ca="1">IF(B91&gt;TODAY(),"",SUM($W$3:W91)/SUM($E$3:E91))</f>
        <v/>
      </c>
      <c r="AB91" s="29" t="str">
        <f ca="1">IF(B91&gt;TODAY(),"",SUM($X$3:X91)/SUM($F$3:F91))</f>
        <v/>
      </c>
      <c r="AC91" s="27"/>
      <c r="AD91" s="7">
        <f t="shared" si="48"/>
        <v>45643</v>
      </c>
      <c r="AE91" s="29">
        <f t="shared" si="49"/>
        <v>16</v>
      </c>
      <c r="AF91" s="37">
        <f t="shared" si="50"/>
        <v>0</v>
      </c>
      <c r="AG91" s="29">
        <f t="shared" ca="1" si="51"/>
        <v>0</v>
      </c>
      <c r="AH91" s="27"/>
      <c r="AI91" s="7">
        <f t="shared" si="52"/>
        <v>45643</v>
      </c>
      <c r="AJ91" s="15">
        <f t="shared" si="62"/>
        <v>-622</v>
      </c>
      <c r="AK91" s="15" t="str">
        <f t="shared" ca="1" si="59"/>
        <v/>
      </c>
      <c r="AL91" s="27"/>
      <c r="AM91" s="11">
        <f t="shared" si="53"/>
        <v>45643</v>
      </c>
      <c r="AN91" s="28">
        <f t="shared" ca="1" si="63"/>
        <v>0</v>
      </c>
      <c r="AO91" s="28">
        <f t="shared" ca="1" si="64"/>
        <v>0</v>
      </c>
      <c r="AP91">
        <f t="shared" si="54"/>
        <v>0</v>
      </c>
      <c r="AQ91" s="11">
        <f t="shared" ca="1" si="65"/>
        <v>45612.2</v>
      </c>
      <c r="AR91" s="29" t="e">
        <f ca="1">AK91/(NETWORKDAYS(B91,$AU$1,Days!$A$11:$A$25)-1)</f>
        <v>#VALUE!</v>
      </c>
      <c r="AS91" s="29" t="e">
        <f t="shared" ca="1" si="60"/>
        <v>#VALUE!</v>
      </c>
      <c r="AT91" s="27"/>
      <c r="AV91" s="10">
        <f t="shared" si="55"/>
        <v>0</v>
      </c>
      <c r="AW91" s="10">
        <f t="shared" si="56"/>
        <v>0</v>
      </c>
      <c r="AX91" s="10">
        <f t="shared" si="57"/>
        <v>0</v>
      </c>
      <c r="AY91" s="7">
        <f t="shared" si="58"/>
        <v>45643</v>
      </c>
      <c r="AZ91" t="str">
        <f ca="1">IF(B91&gt;TODAY(),"",SUM($V$3:V91)/SUM($AV$3:AV91))</f>
        <v/>
      </c>
      <c r="BA91" t="str">
        <f ca="1">IF(B91&gt;TODAY(),"",SUM($W$3:W91)/SUM($AW$3:AW91))</f>
        <v/>
      </c>
      <c r="BB91" t="str">
        <f ca="1">IF(B91&gt;TODAY(),"",SUM($X$3:X91)/SUM($AX$3:AX91))</f>
        <v/>
      </c>
    </row>
    <row r="92" spans="1:54" x14ac:dyDescent="0.25">
      <c r="A92" s="6" t="str">
        <f>VLOOKUP(WEEKDAY(B92,2),Days!$A$1:$B$7,2,0)</f>
        <v>Wed</v>
      </c>
      <c r="B92" s="7">
        <f t="shared" si="61"/>
        <v>45644</v>
      </c>
      <c r="C92" s="6">
        <f>IF(AND(A92&lt;&gt;"Sat",A92&lt;&gt;"Sun",ISERROR(VLOOKUP(B92,Days!$A$10:$A$38,1,0))),1,(IF(AF92&lt;&gt;0,1,0)))</f>
        <v>1</v>
      </c>
      <c r="D92" s="10"/>
      <c r="E92" s="10"/>
      <c r="F92" s="10"/>
      <c r="G92" s="27"/>
      <c r="H92" s="10">
        <v>1</v>
      </c>
      <c r="I92" s="10">
        <v>1</v>
      </c>
      <c r="J92" s="10">
        <v>0</v>
      </c>
      <c r="K92" s="27"/>
      <c r="L92">
        <f>$C92*H92*Days!$F$1</f>
        <v>8</v>
      </c>
      <c r="M92">
        <f>$C92*I92*Days!$F$1</f>
        <v>8</v>
      </c>
      <c r="N92">
        <f>$C92*J92*Days!$F$1</f>
        <v>0</v>
      </c>
      <c r="O92" s="27"/>
      <c r="P92">
        <f t="shared" ca="1" si="43"/>
        <v>0</v>
      </c>
      <c r="Q92">
        <f t="shared" ca="1" si="44"/>
        <v>0</v>
      </c>
      <c r="R92">
        <f t="shared" ca="1" si="45"/>
        <v>0</v>
      </c>
      <c r="S92" s="27"/>
      <c r="T92" s="7">
        <f t="shared" si="46"/>
        <v>45644</v>
      </c>
      <c r="U92" s="6">
        <f t="shared" si="47"/>
        <v>1</v>
      </c>
      <c r="V92">
        <f>COUNTIFS('2024 - L&amp;G R64 - Test Instances'!H:H,B92,'2024 - L&amp;G R64 - Test Instances'!L:L,$V$2,'2024 - L&amp;G R64 - Test Instances'!O:O,"Done")</f>
        <v>0</v>
      </c>
      <c r="W92">
        <f>COUNTIFS('2024 - L&amp;G R64 - Test Instances'!H:H,B92,'2024 - L&amp;G R64 - Test Instances'!L:L,$W$2,'2024 - L&amp;G R64 - Test Instances'!O:O,"Done")</f>
        <v>0</v>
      </c>
      <c r="X92">
        <f>COUNTIFS('2024 - L&amp;G R64 - Test Instances'!H:H,B92,'2024 - L&amp;G R64 - Test Instances'!L:L,$X$2,'2024 - L&amp;G R64 - Test Instances'!O:O,"Done")</f>
        <v>0</v>
      </c>
      <c r="Y92" s="27">
        <v>8</v>
      </c>
      <c r="Z92" s="29" t="str">
        <f ca="1">IF(B92&gt;TODAY(),"",SUM($V$3:V92)/SUM($D$3:D92))</f>
        <v/>
      </c>
      <c r="AA92" s="29" t="str">
        <f ca="1">IF(B92&gt;TODAY(),"",SUM($W$3:W92)/SUM($E$3:E92))</f>
        <v/>
      </c>
      <c r="AB92" s="29" t="str">
        <f ca="1">IF(B92&gt;TODAY(),"",SUM($X$3:X92)/SUM($F$3:F92))</f>
        <v/>
      </c>
      <c r="AC92" s="27"/>
      <c r="AD92" s="7">
        <f t="shared" si="48"/>
        <v>45644</v>
      </c>
      <c r="AE92" s="29">
        <f t="shared" si="49"/>
        <v>16</v>
      </c>
      <c r="AF92" s="37">
        <f t="shared" si="50"/>
        <v>0</v>
      </c>
      <c r="AG92" s="29">
        <f t="shared" ca="1" si="51"/>
        <v>0</v>
      </c>
      <c r="AH92" s="27"/>
      <c r="AI92" s="7">
        <f t="shared" si="52"/>
        <v>45644</v>
      </c>
      <c r="AJ92" s="15">
        <f t="shared" si="62"/>
        <v>-638</v>
      </c>
      <c r="AK92" s="15" t="str">
        <f t="shared" ca="1" si="59"/>
        <v/>
      </c>
      <c r="AL92" s="27"/>
      <c r="AM92" s="11">
        <f t="shared" si="53"/>
        <v>45644</v>
      </c>
      <c r="AN92" s="28">
        <f t="shared" ca="1" si="63"/>
        <v>0</v>
      </c>
      <c r="AO92" s="28">
        <f t="shared" ca="1" si="64"/>
        <v>0</v>
      </c>
      <c r="AP92">
        <f t="shared" si="54"/>
        <v>0</v>
      </c>
      <c r="AQ92" s="11">
        <f t="shared" ca="1" si="65"/>
        <v>45612.2</v>
      </c>
      <c r="AR92" s="29" t="e">
        <f ca="1">AK92/(NETWORKDAYS(B92,$AU$1,Days!$A$11:$A$25)-1)</f>
        <v>#VALUE!</v>
      </c>
      <c r="AS92" s="29" t="e">
        <f t="shared" ca="1" si="60"/>
        <v>#VALUE!</v>
      </c>
      <c r="AT92" s="27"/>
      <c r="AV92" s="10">
        <f t="shared" si="55"/>
        <v>0</v>
      </c>
      <c r="AW92" s="10">
        <f t="shared" si="56"/>
        <v>0</v>
      </c>
      <c r="AX92" s="10">
        <f t="shared" si="57"/>
        <v>0</v>
      </c>
      <c r="AY92" s="7">
        <f t="shared" si="58"/>
        <v>45644</v>
      </c>
      <c r="AZ92" t="str">
        <f ca="1">IF(B92&gt;TODAY(),"",SUM($V$3:V92)/SUM($AV$3:AV92))</f>
        <v/>
      </c>
      <c r="BA92" t="str">
        <f ca="1">IF(B92&gt;TODAY(),"",SUM($W$3:W92)/SUM($AW$3:AW92))</f>
        <v/>
      </c>
      <c r="BB92" t="str">
        <f ca="1">IF(B92&gt;TODAY(),"",SUM($X$3:X92)/SUM($AX$3:AX92))</f>
        <v/>
      </c>
    </row>
    <row r="93" spans="1:54" x14ac:dyDescent="0.25">
      <c r="A93" s="6" t="str">
        <f>VLOOKUP(WEEKDAY(B93,2),Days!$A$1:$B$7,2,0)</f>
        <v>Thu</v>
      </c>
      <c r="B93" s="7">
        <f t="shared" si="61"/>
        <v>45645</v>
      </c>
      <c r="C93" s="6">
        <f>IF(AND(A93&lt;&gt;"Sat",A93&lt;&gt;"Sun",ISERROR(VLOOKUP(B93,Days!$A$10:$A$38,1,0))),1,(IF(AF93&lt;&gt;0,1,0)))</f>
        <v>1</v>
      </c>
      <c r="D93" s="10"/>
      <c r="E93" s="10"/>
      <c r="F93" s="10"/>
      <c r="G93" s="27"/>
      <c r="H93" s="10">
        <v>1</v>
      </c>
      <c r="I93" s="10">
        <v>1</v>
      </c>
      <c r="J93" s="10">
        <v>0</v>
      </c>
      <c r="K93" s="27"/>
      <c r="L93">
        <f>$C93*H93*Days!$F$1</f>
        <v>8</v>
      </c>
      <c r="M93">
        <f>$C93*I93*Days!$F$1</f>
        <v>8</v>
      </c>
      <c r="N93">
        <f>$C93*J93*Days!$F$1</f>
        <v>0</v>
      </c>
      <c r="O93" s="27"/>
      <c r="P93">
        <f t="shared" ca="1" si="43"/>
        <v>0</v>
      </c>
      <c r="Q93">
        <f t="shared" ca="1" si="44"/>
        <v>0</v>
      </c>
      <c r="R93">
        <f t="shared" ca="1" si="45"/>
        <v>0</v>
      </c>
      <c r="S93" s="27"/>
      <c r="T93" s="7">
        <f t="shared" si="46"/>
        <v>45645</v>
      </c>
      <c r="U93" s="6">
        <f t="shared" si="47"/>
        <v>1</v>
      </c>
      <c r="V93">
        <f>COUNTIFS('2024 - L&amp;G R64 - Test Instances'!H:H,B93,'2024 - L&amp;G R64 - Test Instances'!L:L,$V$2,'2024 - L&amp;G R64 - Test Instances'!O:O,"Done")</f>
        <v>0</v>
      </c>
      <c r="W93">
        <f>COUNTIFS('2024 - L&amp;G R64 - Test Instances'!H:H,B93,'2024 - L&amp;G R64 - Test Instances'!L:L,$W$2,'2024 - L&amp;G R64 - Test Instances'!O:O,"Done")</f>
        <v>0</v>
      </c>
      <c r="X93">
        <f>COUNTIFS('2024 - L&amp;G R64 - Test Instances'!H:H,B93,'2024 - L&amp;G R64 - Test Instances'!L:L,$X$2,'2024 - L&amp;G R64 - Test Instances'!O:O,"Done")</f>
        <v>0</v>
      </c>
      <c r="Y93" s="27">
        <v>8</v>
      </c>
      <c r="Z93" s="29" t="str">
        <f ca="1">IF(B93&gt;TODAY(),"",SUM($V$3:V93)/SUM($D$3:D93))</f>
        <v/>
      </c>
      <c r="AA93" s="29" t="str">
        <f ca="1">IF(B93&gt;TODAY(),"",SUM($W$3:W93)/SUM($E$3:E93))</f>
        <v/>
      </c>
      <c r="AB93" s="29" t="str">
        <f ca="1">IF(B93&gt;TODAY(),"",SUM($X$3:X93)/SUM($F$3:F93))</f>
        <v/>
      </c>
      <c r="AC93" s="27"/>
      <c r="AD93" s="7">
        <f t="shared" si="48"/>
        <v>45645</v>
      </c>
      <c r="AE93" s="29">
        <f t="shared" si="49"/>
        <v>16</v>
      </c>
      <c r="AF93" s="37">
        <f t="shared" si="50"/>
        <v>0</v>
      </c>
      <c r="AG93" s="29">
        <f t="shared" ca="1" si="51"/>
        <v>0</v>
      </c>
      <c r="AH93" s="27"/>
      <c r="AI93" s="7">
        <f t="shared" si="52"/>
        <v>45645</v>
      </c>
      <c r="AJ93" s="15">
        <f t="shared" si="62"/>
        <v>-654</v>
      </c>
      <c r="AK93" s="15" t="str">
        <f t="shared" ca="1" si="59"/>
        <v/>
      </c>
      <c r="AL93" s="27"/>
      <c r="AM93" s="11">
        <f t="shared" si="53"/>
        <v>45645</v>
      </c>
      <c r="AN93" s="28">
        <f t="shared" ca="1" si="63"/>
        <v>0</v>
      </c>
      <c r="AO93" s="28">
        <f t="shared" ca="1" si="64"/>
        <v>0</v>
      </c>
      <c r="AP93">
        <f t="shared" si="54"/>
        <v>0</v>
      </c>
      <c r="AQ93" s="11">
        <f t="shared" ca="1" si="65"/>
        <v>45612.2</v>
      </c>
      <c r="AR93" s="29" t="e">
        <f ca="1">AK93/(NETWORKDAYS(B93,$AU$1,Days!$A$11:$A$25)-1)</f>
        <v>#VALUE!</v>
      </c>
      <c r="AS93" s="29" t="e">
        <f t="shared" ca="1" si="60"/>
        <v>#VALUE!</v>
      </c>
      <c r="AT93" s="27"/>
      <c r="AV93" s="10">
        <f t="shared" si="55"/>
        <v>0</v>
      </c>
      <c r="AW93" s="10">
        <f t="shared" si="56"/>
        <v>0</v>
      </c>
      <c r="AX93" s="10">
        <f t="shared" si="57"/>
        <v>0</v>
      </c>
      <c r="AY93" s="7">
        <f t="shared" si="58"/>
        <v>45645</v>
      </c>
      <c r="AZ93" t="str">
        <f ca="1">IF(B93&gt;TODAY(),"",SUM($V$3:V93)/SUM($AV$3:AV93))</f>
        <v/>
      </c>
      <c r="BA93" t="str">
        <f ca="1">IF(B93&gt;TODAY(),"",SUM($W$3:W93)/SUM($AW$3:AW93))</f>
        <v/>
      </c>
      <c r="BB93" t="str">
        <f ca="1">IF(B93&gt;TODAY(),"",SUM($X$3:X93)/SUM($AX$3:AX93))</f>
        <v/>
      </c>
    </row>
    <row r="94" spans="1:54" x14ac:dyDescent="0.25">
      <c r="A94" s="6" t="str">
        <f>VLOOKUP(WEEKDAY(B94,2),Days!$A$1:$B$7,2,0)</f>
        <v>Fri</v>
      </c>
      <c r="B94" s="7">
        <f t="shared" si="61"/>
        <v>45646</v>
      </c>
      <c r="C94" s="6">
        <f>IF(AND(A94&lt;&gt;"Sat",A94&lt;&gt;"Sun",ISERROR(VLOOKUP(B94,Days!$A$10:$A$38,1,0))),1,(IF(AF94&lt;&gt;0,1,0)))</f>
        <v>1</v>
      </c>
      <c r="D94" s="10"/>
      <c r="E94" s="10"/>
      <c r="F94" s="10"/>
      <c r="G94" s="27"/>
      <c r="H94" s="10">
        <v>1</v>
      </c>
      <c r="I94" s="10">
        <v>1</v>
      </c>
      <c r="J94" s="10">
        <v>0</v>
      </c>
      <c r="K94" s="27"/>
      <c r="L94">
        <f>$C94*H94*Days!$F$1</f>
        <v>8</v>
      </c>
      <c r="M94">
        <f>$C94*I94*Days!$F$1</f>
        <v>8</v>
      </c>
      <c r="N94">
        <f>$C94*J94*Days!$F$1</f>
        <v>0</v>
      </c>
      <c r="O94" s="27"/>
      <c r="P94">
        <f t="shared" ca="1" si="43"/>
        <v>0</v>
      </c>
      <c r="Q94">
        <f t="shared" ca="1" si="44"/>
        <v>0</v>
      </c>
      <c r="R94">
        <f t="shared" ca="1" si="45"/>
        <v>0</v>
      </c>
      <c r="S94" s="27"/>
      <c r="T94" s="7">
        <f t="shared" si="46"/>
        <v>45646</v>
      </c>
      <c r="U94" s="6">
        <f t="shared" si="47"/>
        <v>1</v>
      </c>
      <c r="V94">
        <f>COUNTIFS('2024 - L&amp;G R64 - Test Instances'!H:H,B94,'2024 - L&amp;G R64 - Test Instances'!L:L,$V$2,'2024 - L&amp;G R64 - Test Instances'!O:O,"Done")</f>
        <v>0</v>
      </c>
      <c r="W94">
        <f>COUNTIFS('2024 - L&amp;G R64 - Test Instances'!H:H,B94,'2024 - L&amp;G R64 - Test Instances'!L:L,$W$2,'2024 - L&amp;G R64 - Test Instances'!O:O,"Done")</f>
        <v>0</v>
      </c>
      <c r="X94">
        <f>COUNTIFS('2024 - L&amp;G R64 - Test Instances'!H:H,B94,'2024 - L&amp;G R64 - Test Instances'!L:L,$X$2,'2024 - L&amp;G R64 - Test Instances'!O:O,"Done")</f>
        <v>0</v>
      </c>
      <c r="Y94" s="27">
        <v>8</v>
      </c>
      <c r="Z94" s="29" t="str">
        <f ca="1">IF(B94&gt;TODAY(),"",SUM($V$3:V94)/SUM($D$3:D94))</f>
        <v/>
      </c>
      <c r="AA94" s="29" t="str">
        <f ca="1">IF(B94&gt;TODAY(),"",SUM($W$3:W94)/SUM($E$3:E94))</f>
        <v/>
      </c>
      <c r="AB94" s="29" t="str">
        <f ca="1">IF(B94&gt;TODAY(),"",SUM($X$3:X94)/SUM($F$3:F94))</f>
        <v/>
      </c>
      <c r="AC94" s="27"/>
      <c r="AD94" s="7">
        <f t="shared" si="48"/>
        <v>45646</v>
      </c>
      <c r="AE94" s="29">
        <f t="shared" si="49"/>
        <v>16</v>
      </c>
      <c r="AF94" s="37">
        <f t="shared" si="50"/>
        <v>0</v>
      </c>
      <c r="AG94" s="29">
        <f t="shared" ca="1" si="51"/>
        <v>0</v>
      </c>
      <c r="AH94" s="27"/>
      <c r="AI94" s="7">
        <f t="shared" si="52"/>
        <v>45646</v>
      </c>
      <c r="AJ94" s="15">
        <f t="shared" si="62"/>
        <v>-670</v>
      </c>
      <c r="AK94" s="15" t="str">
        <f t="shared" ca="1" si="59"/>
        <v/>
      </c>
      <c r="AL94" s="27"/>
      <c r="AM94" s="11">
        <f t="shared" si="53"/>
        <v>45646</v>
      </c>
      <c r="AN94" s="28">
        <f t="shared" ca="1" si="63"/>
        <v>0</v>
      </c>
      <c r="AO94" s="28">
        <f t="shared" ca="1" si="64"/>
        <v>0</v>
      </c>
      <c r="AP94">
        <f t="shared" si="54"/>
        <v>0</v>
      </c>
      <c r="AQ94" s="11">
        <f t="shared" ca="1" si="65"/>
        <v>45612.2</v>
      </c>
      <c r="AR94" s="29" t="e">
        <f ca="1">AK94/(NETWORKDAYS(B94,$AU$1,Days!$A$11:$A$25)-1)</f>
        <v>#VALUE!</v>
      </c>
      <c r="AS94" s="29" t="e">
        <f t="shared" ca="1" si="60"/>
        <v>#VALUE!</v>
      </c>
      <c r="AT94" s="27"/>
      <c r="AV94" s="10">
        <f t="shared" si="55"/>
        <v>0</v>
      </c>
      <c r="AW94" s="10">
        <f t="shared" si="56"/>
        <v>0</v>
      </c>
      <c r="AX94" s="10">
        <f t="shared" si="57"/>
        <v>0</v>
      </c>
      <c r="AY94" s="7">
        <f t="shared" si="58"/>
        <v>45646</v>
      </c>
      <c r="AZ94" t="str">
        <f ca="1">IF(B94&gt;TODAY(),"",SUM($V$3:V94)/SUM($AV$3:AV94))</f>
        <v/>
      </c>
      <c r="BA94" t="str">
        <f ca="1">IF(B94&gt;TODAY(),"",SUM($W$3:W94)/SUM($AW$3:AW94))</f>
        <v/>
      </c>
      <c r="BB94" t="str">
        <f ca="1">IF(B94&gt;TODAY(),"",SUM($X$3:X94)/SUM($AX$3:AX94))</f>
        <v/>
      </c>
    </row>
    <row r="95" spans="1:54" x14ac:dyDescent="0.25">
      <c r="A95" s="6" t="str">
        <f>VLOOKUP(WEEKDAY(B95,2),Days!$A$1:$B$7,2,0)</f>
        <v>Sat</v>
      </c>
      <c r="B95" s="7">
        <f t="shared" si="61"/>
        <v>45647</v>
      </c>
      <c r="C95" s="6">
        <f>IF(AND(A95&lt;&gt;"Sat",A95&lt;&gt;"Sun",ISERROR(VLOOKUP(B95,Days!$A$10:$A$38,1,0))),1,(IF(AF95&lt;&gt;0,1,0)))</f>
        <v>0</v>
      </c>
      <c r="D95" s="10"/>
      <c r="E95" s="10"/>
      <c r="F95" s="10"/>
      <c r="G95" s="27"/>
      <c r="H95" s="10">
        <v>0</v>
      </c>
      <c r="I95" s="10">
        <v>0</v>
      </c>
      <c r="J95" s="10">
        <v>0</v>
      </c>
      <c r="K95" s="27"/>
      <c r="L95">
        <f>$C95*H95*Days!$F$1</f>
        <v>0</v>
      </c>
      <c r="M95">
        <f>$C95*I95*Days!$F$1</f>
        <v>0</v>
      </c>
      <c r="N95">
        <f>$C95*J95*Days!$F$1</f>
        <v>0</v>
      </c>
      <c r="O95" s="27"/>
      <c r="P95">
        <f t="shared" ca="1" si="43"/>
        <v>0</v>
      </c>
      <c r="Q95">
        <f t="shared" ca="1" si="44"/>
        <v>0</v>
      </c>
      <c r="R95">
        <f t="shared" ca="1" si="45"/>
        <v>0</v>
      </c>
      <c r="S95" s="27"/>
      <c r="T95" s="7">
        <f t="shared" si="46"/>
        <v>45647</v>
      </c>
      <c r="U95" s="6">
        <f t="shared" si="47"/>
        <v>0</v>
      </c>
      <c r="V95">
        <f>COUNTIFS('2024 - L&amp;G R64 - Test Instances'!H:H,B95,'2024 - L&amp;G R64 - Test Instances'!L:L,$V$2,'2024 - L&amp;G R64 - Test Instances'!O:O,"Done")</f>
        <v>0</v>
      </c>
      <c r="W95">
        <f>COUNTIFS('2024 - L&amp;G R64 - Test Instances'!H:H,B95,'2024 - L&amp;G R64 - Test Instances'!L:L,$W$2,'2024 - L&amp;G R64 - Test Instances'!O:O,"Done")</f>
        <v>0</v>
      </c>
      <c r="X95">
        <f>COUNTIFS('2024 - L&amp;G R64 - Test Instances'!H:H,B95,'2024 - L&amp;G R64 - Test Instances'!L:L,$X$2,'2024 - L&amp;G R64 - Test Instances'!O:O,"Done")</f>
        <v>0</v>
      </c>
      <c r="Y95" s="27">
        <v>8</v>
      </c>
      <c r="Z95" s="29" t="str">
        <f ca="1">IF(B95&gt;TODAY(),"",SUM($V$3:V95)/SUM($D$3:D95))</f>
        <v/>
      </c>
      <c r="AA95" s="29" t="str">
        <f ca="1">IF(B95&gt;TODAY(),"",SUM($W$3:W95)/SUM($E$3:E95))</f>
        <v/>
      </c>
      <c r="AB95" s="29" t="str">
        <f ca="1">IF(B95&gt;TODAY(),"",SUM($X$3:X95)/SUM($F$3:F95))</f>
        <v/>
      </c>
      <c r="AC95" s="27"/>
      <c r="AD95" s="7">
        <f t="shared" si="48"/>
        <v>45647</v>
      </c>
      <c r="AE95" s="29">
        <f t="shared" si="49"/>
        <v>0</v>
      </c>
      <c r="AF95" s="37">
        <f t="shared" si="50"/>
        <v>0</v>
      </c>
      <c r="AG95" s="29">
        <f t="shared" ca="1" si="51"/>
        <v>0</v>
      </c>
      <c r="AH95" s="27"/>
      <c r="AI95" s="7">
        <f t="shared" si="52"/>
        <v>45647</v>
      </c>
      <c r="AJ95" s="15">
        <f t="shared" si="62"/>
        <v>-670</v>
      </c>
      <c r="AK95" s="15" t="str">
        <f t="shared" ca="1" si="59"/>
        <v/>
      </c>
      <c r="AL95" s="27"/>
      <c r="AM95" s="11">
        <f t="shared" si="53"/>
        <v>45647</v>
      </c>
      <c r="AN95" s="28">
        <f t="shared" ca="1" si="63"/>
        <v>0</v>
      </c>
      <c r="AO95" s="28">
        <f t="shared" ca="1" si="64"/>
        <v>0</v>
      </c>
      <c r="AP95">
        <f t="shared" si="54"/>
        <v>0</v>
      </c>
      <c r="AQ95" s="11">
        <f t="shared" ca="1" si="65"/>
        <v>45612.2</v>
      </c>
      <c r="AR95" s="29" t="e">
        <f ca="1">AK95/(NETWORKDAYS(B95,$AU$1,Days!$A$11:$A$25)-1)</f>
        <v>#VALUE!</v>
      </c>
      <c r="AS95" s="29" t="e">
        <f t="shared" ca="1" si="60"/>
        <v>#VALUE!</v>
      </c>
      <c r="AT95" s="27"/>
      <c r="AV95" s="10">
        <f t="shared" si="55"/>
        <v>0</v>
      </c>
      <c r="AW95" s="10">
        <f t="shared" si="56"/>
        <v>0</v>
      </c>
      <c r="AX95" s="10">
        <f t="shared" si="57"/>
        <v>0</v>
      </c>
      <c r="AY95" s="7">
        <f t="shared" si="58"/>
        <v>45647</v>
      </c>
      <c r="AZ95" t="str">
        <f ca="1">IF(B95&gt;TODAY(),"",SUM($V$3:V95)/SUM($AV$3:AV95))</f>
        <v/>
      </c>
      <c r="BA95" t="str">
        <f ca="1">IF(B95&gt;TODAY(),"",SUM($W$3:W95)/SUM($AW$3:AW95))</f>
        <v/>
      </c>
      <c r="BB95" t="str">
        <f ca="1">IF(B95&gt;TODAY(),"",SUM($X$3:X95)/SUM($AX$3:AX95))</f>
        <v/>
      </c>
    </row>
    <row r="96" spans="1:54" x14ac:dyDescent="0.25">
      <c r="A96" s="6" t="str">
        <f>VLOOKUP(WEEKDAY(B96,2),Days!$A$1:$B$7,2,0)</f>
        <v>Sun</v>
      </c>
      <c r="B96" s="7">
        <f t="shared" si="61"/>
        <v>45648</v>
      </c>
      <c r="C96" s="6">
        <f>IF(AND(A96&lt;&gt;"Sat",A96&lt;&gt;"Sun",ISERROR(VLOOKUP(B96,Days!$A$10:$A$38,1,0))),1,(IF(AF96&lt;&gt;0,1,0)))</f>
        <v>0</v>
      </c>
      <c r="D96" s="10"/>
      <c r="E96" s="10"/>
      <c r="F96" s="10"/>
      <c r="G96" s="27"/>
      <c r="H96" s="10">
        <v>0</v>
      </c>
      <c r="I96" s="10">
        <v>0</v>
      </c>
      <c r="J96" s="10">
        <v>0</v>
      </c>
      <c r="K96" s="27"/>
      <c r="L96">
        <f>$C96*H96*Days!$F$1</f>
        <v>0</v>
      </c>
      <c r="M96">
        <f>$C96*I96*Days!$F$1</f>
        <v>0</v>
      </c>
      <c r="N96">
        <f>$C96*J96*Days!$F$1</f>
        <v>0</v>
      </c>
      <c r="O96" s="27"/>
      <c r="P96">
        <f t="shared" ca="1" si="43"/>
        <v>0</v>
      </c>
      <c r="Q96">
        <f t="shared" ca="1" si="44"/>
        <v>0</v>
      </c>
      <c r="R96">
        <f t="shared" ca="1" si="45"/>
        <v>0</v>
      </c>
      <c r="S96" s="27"/>
      <c r="T96" s="7">
        <f t="shared" si="46"/>
        <v>45648</v>
      </c>
      <c r="U96" s="6">
        <f t="shared" si="47"/>
        <v>0</v>
      </c>
      <c r="V96">
        <f>COUNTIFS('2024 - L&amp;G R64 - Test Instances'!H:H,B96,'2024 - L&amp;G R64 - Test Instances'!L:L,$V$2,'2024 - L&amp;G R64 - Test Instances'!O:O,"Done")</f>
        <v>0</v>
      </c>
      <c r="W96">
        <f>COUNTIFS('2024 - L&amp;G R64 - Test Instances'!H:H,B96,'2024 - L&amp;G R64 - Test Instances'!L:L,$W$2,'2024 - L&amp;G R64 - Test Instances'!O:O,"Done")</f>
        <v>0</v>
      </c>
      <c r="X96">
        <f>COUNTIFS('2024 - L&amp;G R64 - Test Instances'!H:H,B96,'2024 - L&amp;G R64 - Test Instances'!L:L,$X$2,'2024 - L&amp;G R64 - Test Instances'!O:O,"Done")</f>
        <v>0</v>
      </c>
      <c r="Y96" s="27">
        <v>8</v>
      </c>
      <c r="Z96" s="29" t="str">
        <f ca="1">IF(B96&gt;TODAY(),"",SUM($V$3:V96)/SUM($D$3:D96))</f>
        <v/>
      </c>
      <c r="AA96" s="29" t="str">
        <f ca="1">IF(B96&gt;TODAY(),"",SUM($W$3:W96)/SUM($E$3:E96))</f>
        <v/>
      </c>
      <c r="AB96" s="29" t="str">
        <f ca="1">IF(B96&gt;TODAY(),"",SUM($X$3:X96)/SUM($F$3:F96))</f>
        <v/>
      </c>
      <c r="AC96" s="27"/>
      <c r="AD96" s="7">
        <f t="shared" si="48"/>
        <v>45648</v>
      </c>
      <c r="AE96" s="29">
        <f t="shared" si="49"/>
        <v>0</v>
      </c>
      <c r="AF96" s="37">
        <f t="shared" si="50"/>
        <v>0</v>
      </c>
      <c r="AG96" s="29">
        <f t="shared" ca="1" si="51"/>
        <v>0</v>
      </c>
      <c r="AH96" s="27"/>
      <c r="AI96" s="7">
        <f t="shared" si="52"/>
        <v>45648</v>
      </c>
      <c r="AJ96" s="15">
        <f t="shared" si="62"/>
        <v>-670</v>
      </c>
      <c r="AK96" s="15" t="str">
        <f t="shared" ca="1" si="59"/>
        <v/>
      </c>
      <c r="AL96" s="27"/>
      <c r="AM96" s="11">
        <f t="shared" si="53"/>
        <v>45648</v>
      </c>
      <c r="AN96" s="28">
        <f t="shared" ca="1" si="63"/>
        <v>0</v>
      </c>
      <c r="AO96" s="28">
        <f t="shared" ca="1" si="64"/>
        <v>0</v>
      </c>
      <c r="AP96">
        <f t="shared" si="54"/>
        <v>0</v>
      </c>
      <c r="AQ96" s="11">
        <f t="shared" ca="1" si="65"/>
        <v>45612.2</v>
      </c>
      <c r="AR96" s="29" t="e">
        <f ca="1">AK96/(NETWORKDAYS(B96,$AU$1,Days!$A$11:$A$25)-1)</f>
        <v>#VALUE!</v>
      </c>
      <c r="AS96" s="29" t="e">
        <f t="shared" ca="1" si="60"/>
        <v>#VALUE!</v>
      </c>
      <c r="AT96" s="27"/>
      <c r="AV96" s="10">
        <f t="shared" si="55"/>
        <v>0</v>
      </c>
      <c r="AW96" s="10">
        <f t="shared" si="56"/>
        <v>0</v>
      </c>
      <c r="AX96" s="10">
        <f t="shared" si="57"/>
        <v>0</v>
      </c>
      <c r="AY96" s="7">
        <f t="shared" si="58"/>
        <v>45648</v>
      </c>
      <c r="AZ96" t="str">
        <f ca="1">IF(B96&gt;TODAY(),"",SUM($V$3:V96)/SUM($AV$3:AV96))</f>
        <v/>
      </c>
      <c r="BA96" t="str">
        <f ca="1">IF(B96&gt;TODAY(),"",SUM($W$3:W96)/SUM($AW$3:AW96))</f>
        <v/>
      </c>
      <c r="BB96" t="str">
        <f ca="1">IF(B96&gt;TODAY(),"",SUM($X$3:X96)/SUM($AX$3:AX96))</f>
        <v/>
      </c>
    </row>
  </sheetData>
  <autoFilter ref="A2:AU96" xr:uid="{7206418A-C287-4639-A540-9DB9877F1C08}"/>
  <mergeCells count="11">
    <mergeCell ref="AV1:AX1"/>
    <mergeCell ref="AZ1:BB1"/>
    <mergeCell ref="AM1:AQ1"/>
    <mergeCell ref="Z1:AB1"/>
    <mergeCell ref="AD1:AG1"/>
    <mergeCell ref="AI1:AK1"/>
    <mergeCell ref="D1:F1"/>
    <mergeCell ref="H1:J1"/>
    <mergeCell ref="L1:N1"/>
    <mergeCell ref="P1:R1"/>
    <mergeCell ref="V1:X1"/>
  </mergeCells>
  <conditionalFormatting sqref="A3:A96">
    <cfRule type="cellIs" dxfId="432" priority="1831" operator="equal">
      <formula>"Sun"</formula>
    </cfRule>
    <cfRule type="cellIs" dxfId="431" priority="1832" operator="equal">
      <formula>"Sat"</formula>
    </cfRule>
  </conditionalFormatting>
  <conditionalFormatting sqref="D4:F5 I4:J5 I6:I10 I11:J12 I13:I17 I18:J19 I20:I23 I28:I31 I35:I38 I39:J40 I41:I45 I46:J47 I48:I52 I53:J54 I55:I59 I60:J61 I62:I66 I67:J68 I69:I73 I74:J75 I76:I80 I84:I87 I88:J89 I90:I94 I95:J96 I24:J27 I32:J34 I81:J83 AV3:AX96">
    <cfRule type="cellIs" dxfId="430" priority="1829" operator="equal">
      <formula>1</formula>
    </cfRule>
    <cfRule type="cellIs" dxfId="429" priority="1830" operator="equal">
      <formula>0</formula>
    </cfRule>
  </conditionalFormatting>
  <conditionalFormatting sqref="F3:F5">
    <cfRule type="cellIs" dxfId="428" priority="1825" operator="equal">
      <formula>1</formula>
    </cfRule>
    <cfRule type="cellIs" dxfId="427" priority="1826" operator="equal">
      <formula>0</formula>
    </cfRule>
  </conditionalFormatting>
  <conditionalFormatting sqref="L3:N96">
    <cfRule type="cellIs" dxfId="426" priority="1823" operator="notEqual">
      <formula>0</formula>
    </cfRule>
    <cfRule type="cellIs" dxfId="425" priority="1824" operator="equal">
      <formula>0</formula>
    </cfRule>
  </conditionalFormatting>
  <conditionalFormatting sqref="V3:X96">
    <cfRule type="cellIs" dxfId="424" priority="1720" stopIfTrue="1" operator="equal">
      <formula>0</formula>
    </cfRule>
  </conditionalFormatting>
  <conditionalFormatting sqref="P3:R96">
    <cfRule type="cellIs" dxfId="423" priority="1817" operator="lessThan">
      <formula>0</formula>
    </cfRule>
    <cfRule type="cellIs" dxfId="422" priority="1818" operator="greaterThan">
      <formula>0</formula>
    </cfRule>
  </conditionalFormatting>
  <conditionalFormatting sqref="D7">
    <cfRule type="cellIs" dxfId="421" priority="1771" operator="equal">
      <formula>1</formula>
    </cfRule>
    <cfRule type="cellIs" dxfId="420" priority="1772" operator="equal">
      <formula>0</formula>
    </cfRule>
  </conditionalFormatting>
  <conditionalFormatting sqref="A3:A96">
    <cfRule type="expression" dxfId="419" priority="791">
      <formula>C3=0</formula>
    </cfRule>
  </conditionalFormatting>
  <conditionalFormatting sqref="A3:A96">
    <cfRule type="expression" dxfId="418" priority="790">
      <formula>C3=0</formula>
    </cfRule>
  </conditionalFormatting>
  <conditionalFormatting sqref="D6:E7">
    <cfRule type="cellIs" dxfId="417" priority="787" operator="equal">
      <formula>1</formula>
    </cfRule>
    <cfRule type="cellIs" dxfId="416" priority="788" operator="equal">
      <formula>0</formula>
    </cfRule>
  </conditionalFormatting>
  <conditionalFormatting sqref="F6">
    <cfRule type="cellIs" dxfId="415" priority="781" operator="equal">
      <formula>1</formula>
    </cfRule>
    <cfRule type="cellIs" dxfId="414" priority="782" operator="equal">
      <formula>0</formula>
    </cfRule>
  </conditionalFormatting>
  <conditionalFormatting sqref="F6">
    <cfRule type="cellIs" dxfId="413" priority="779" operator="equal">
      <formula>1</formula>
    </cfRule>
    <cfRule type="cellIs" dxfId="412" priority="780" operator="equal">
      <formula>0</formula>
    </cfRule>
  </conditionalFormatting>
  <conditionalFormatting sqref="D11:F12">
    <cfRule type="cellIs" dxfId="411" priority="777" operator="equal">
      <formula>1</formula>
    </cfRule>
    <cfRule type="cellIs" dxfId="410" priority="778" operator="equal">
      <formula>0</formula>
    </cfRule>
  </conditionalFormatting>
  <conditionalFormatting sqref="D17">
    <cfRule type="cellIs" dxfId="409" priority="771" operator="equal">
      <formula>1</formula>
    </cfRule>
    <cfRule type="cellIs" dxfId="408" priority="772" operator="equal">
      <formula>0</formula>
    </cfRule>
  </conditionalFormatting>
  <conditionalFormatting sqref="E17">
    <cfRule type="cellIs" dxfId="407" priority="765" operator="equal">
      <formula>1</formula>
    </cfRule>
    <cfRule type="cellIs" dxfId="406" priority="766" operator="equal">
      <formula>0</formula>
    </cfRule>
  </conditionalFormatting>
  <conditionalFormatting sqref="E17">
    <cfRule type="cellIs" dxfId="405" priority="763" operator="equal">
      <formula>1</formula>
    </cfRule>
    <cfRule type="cellIs" dxfId="404" priority="764" operator="equal">
      <formula>0</formula>
    </cfRule>
  </conditionalFormatting>
  <conditionalFormatting sqref="D17:E17">
    <cfRule type="cellIs" dxfId="403" priority="761" operator="equal">
      <formula>1</formula>
    </cfRule>
    <cfRule type="cellIs" dxfId="402" priority="762" operator="equal">
      <formula>0</formula>
    </cfRule>
  </conditionalFormatting>
  <conditionalFormatting sqref="F17">
    <cfRule type="cellIs" dxfId="401" priority="755" operator="equal">
      <formula>1</formula>
    </cfRule>
    <cfRule type="cellIs" dxfId="400" priority="756" operator="equal">
      <formula>0</formula>
    </cfRule>
  </conditionalFormatting>
  <conditionalFormatting sqref="F17">
    <cfRule type="cellIs" dxfId="399" priority="753" operator="equal">
      <formula>1</formula>
    </cfRule>
    <cfRule type="cellIs" dxfId="398" priority="754" operator="equal">
      <formula>0</formula>
    </cfRule>
  </conditionalFormatting>
  <conditionalFormatting sqref="D18:F19">
    <cfRule type="cellIs" dxfId="397" priority="751" operator="equal">
      <formula>1</formula>
    </cfRule>
    <cfRule type="cellIs" dxfId="396" priority="752" operator="equal">
      <formula>0</formula>
    </cfRule>
  </conditionalFormatting>
  <conditionalFormatting sqref="D21:D24">
    <cfRule type="cellIs" dxfId="395" priority="745" operator="equal">
      <formula>1</formula>
    </cfRule>
    <cfRule type="cellIs" dxfId="394" priority="746" operator="equal">
      <formula>0</formula>
    </cfRule>
  </conditionalFormatting>
  <conditionalFormatting sqref="E21:E24">
    <cfRule type="cellIs" dxfId="393" priority="739" operator="equal">
      <formula>1</formula>
    </cfRule>
    <cfRule type="cellIs" dxfId="392" priority="740" operator="equal">
      <formula>0</formula>
    </cfRule>
  </conditionalFormatting>
  <conditionalFormatting sqref="E21:E24">
    <cfRule type="cellIs" dxfId="391" priority="737" operator="equal">
      <formula>1</formula>
    </cfRule>
    <cfRule type="cellIs" dxfId="390" priority="738" operator="equal">
      <formula>0</formula>
    </cfRule>
  </conditionalFormatting>
  <conditionalFormatting sqref="D20:E23">
    <cfRule type="cellIs" dxfId="389" priority="735" operator="equal">
      <formula>1</formula>
    </cfRule>
    <cfRule type="cellIs" dxfId="388" priority="736" operator="equal">
      <formula>0</formula>
    </cfRule>
  </conditionalFormatting>
  <conditionalFormatting sqref="F20:F23">
    <cfRule type="cellIs" dxfId="387" priority="729" operator="equal">
      <formula>1</formula>
    </cfRule>
    <cfRule type="cellIs" dxfId="386" priority="730" operator="equal">
      <formula>0</formula>
    </cfRule>
  </conditionalFormatting>
  <conditionalFormatting sqref="F20:F23">
    <cfRule type="cellIs" dxfId="385" priority="727" operator="equal">
      <formula>1</formula>
    </cfRule>
    <cfRule type="cellIs" dxfId="384" priority="728" operator="equal">
      <formula>0</formula>
    </cfRule>
  </conditionalFormatting>
  <conditionalFormatting sqref="D25:F26">
    <cfRule type="cellIs" dxfId="383" priority="725" operator="equal">
      <formula>1</formula>
    </cfRule>
    <cfRule type="cellIs" dxfId="382" priority="726" operator="equal">
      <formula>0</formula>
    </cfRule>
  </conditionalFormatting>
  <conditionalFormatting sqref="D28:D31">
    <cfRule type="cellIs" dxfId="381" priority="719" operator="equal">
      <formula>1</formula>
    </cfRule>
    <cfRule type="cellIs" dxfId="380" priority="720" operator="equal">
      <formula>0</formula>
    </cfRule>
  </conditionalFormatting>
  <conditionalFormatting sqref="E28:E31">
    <cfRule type="cellIs" dxfId="379" priority="713" operator="equal">
      <formula>1</formula>
    </cfRule>
    <cfRule type="cellIs" dxfId="378" priority="714" operator="equal">
      <formula>0</formula>
    </cfRule>
  </conditionalFormatting>
  <conditionalFormatting sqref="E28:E31">
    <cfRule type="cellIs" dxfId="377" priority="711" operator="equal">
      <formula>1</formula>
    </cfRule>
    <cfRule type="cellIs" dxfId="376" priority="712" operator="equal">
      <formula>0</formula>
    </cfRule>
  </conditionalFormatting>
  <conditionalFormatting sqref="D28:E31">
    <cfRule type="cellIs" dxfId="375" priority="709" operator="equal">
      <formula>1</formula>
    </cfRule>
    <cfRule type="cellIs" dxfId="374" priority="710" operator="equal">
      <formula>0</formula>
    </cfRule>
  </conditionalFormatting>
  <conditionalFormatting sqref="F28:F31">
    <cfRule type="cellIs" dxfId="373" priority="703" operator="equal">
      <formula>1</formula>
    </cfRule>
    <cfRule type="cellIs" dxfId="372" priority="704" operator="equal">
      <formula>0</formula>
    </cfRule>
  </conditionalFormatting>
  <conditionalFormatting sqref="F28:F31">
    <cfRule type="cellIs" dxfId="371" priority="701" operator="equal">
      <formula>1</formula>
    </cfRule>
    <cfRule type="cellIs" dxfId="370" priority="702" operator="equal">
      <formula>0</formula>
    </cfRule>
  </conditionalFormatting>
  <conditionalFormatting sqref="D32:F33">
    <cfRule type="cellIs" dxfId="369" priority="699" operator="equal">
      <formula>1</formula>
    </cfRule>
    <cfRule type="cellIs" dxfId="368" priority="700" operator="equal">
      <formula>0</formula>
    </cfRule>
  </conditionalFormatting>
  <conditionalFormatting sqref="D35:D38">
    <cfRule type="cellIs" dxfId="367" priority="693" operator="equal">
      <formula>1</formula>
    </cfRule>
    <cfRule type="cellIs" dxfId="366" priority="694" operator="equal">
      <formula>0</formula>
    </cfRule>
  </conditionalFormatting>
  <conditionalFormatting sqref="E35:E38">
    <cfRule type="cellIs" dxfId="365" priority="687" operator="equal">
      <formula>1</formula>
    </cfRule>
    <cfRule type="cellIs" dxfId="364" priority="688" operator="equal">
      <formula>0</formula>
    </cfRule>
  </conditionalFormatting>
  <conditionalFormatting sqref="E35:E38">
    <cfRule type="cellIs" dxfId="363" priority="685" operator="equal">
      <formula>1</formula>
    </cfRule>
    <cfRule type="cellIs" dxfId="362" priority="686" operator="equal">
      <formula>0</formula>
    </cfRule>
  </conditionalFormatting>
  <conditionalFormatting sqref="D35:E38">
    <cfRule type="cellIs" dxfId="361" priority="683" operator="equal">
      <formula>1</formula>
    </cfRule>
    <cfRule type="cellIs" dxfId="360" priority="684" operator="equal">
      <formula>0</formula>
    </cfRule>
  </conditionalFormatting>
  <conditionalFormatting sqref="F35:F38">
    <cfRule type="cellIs" dxfId="359" priority="677" operator="equal">
      <formula>1</formula>
    </cfRule>
    <cfRule type="cellIs" dxfId="358" priority="678" operator="equal">
      <formula>0</formula>
    </cfRule>
  </conditionalFormatting>
  <conditionalFormatting sqref="F35:F38">
    <cfRule type="cellIs" dxfId="357" priority="675" operator="equal">
      <formula>1</formula>
    </cfRule>
    <cfRule type="cellIs" dxfId="356" priority="676" operator="equal">
      <formula>0</formula>
    </cfRule>
  </conditionalFormatting>
  <conditionalFormatting sqref="D39:F40">
    <cfRule type="cellIs" dxfId="355" priority="673" operator="equal">
      <formula>1</formula>
    </cfRule>
    <cfRule type="cellIs" dxfId="354" priority="674" operator="equal">
      <formula>0</formula>
    </cfRule>
  </conditionalFormatting>
  <conditionalFormatting sqref="D42:D45">
    <cfRule type="cellIs" dxfId="353" priority="667" operator="equal">
      <formula>1</formula>
    </cfRule>
    <cfRule type="cellIs" dxfId="352" priority="668" operator="equal">
      <formula>0</formula>
    </cfRule>
  </conditionalFormatting>
  <conditionalFormatting sqref="E42:E45">
    <cfRule type="cellIs" dxfId="351" priority="661" operator="equal">
      <formula>1</formula>
    </cfRule>
    <cfRule type="cellIs" dxfId="350" priority="662" operator="equal">
      <formula>0</formula>
    </cfRule>
  </conditionalFormatting>
  <conditionalFormatting sqref="E42:E45">
    <cfRule type="cellIs" dxfId="349" priority="659" operator="equal">
      <formula>1</formula>
    </cfRule>
    <cfRule type="cellIs" dxfId="348" priority="660" operator="equal">
      <formula>0</formula>
    </cfRule>
  </conditionalFormatting>
  <conditionalFormatting sqref="D41:E45">
    <cfRule type="cellIs" dxfId="347" priority="657" operator="equal">
      <formula>1</formula>
    </cfRule>
    <cfRule type="cellIs" dxfId="346" priority="658" operator="equal">
      <formula>0</formula>
    </cfRule>
  </conditionalFormatting>
  <conditionalFormatting sqref="F41:F45">
    <cfRule type="cellIs" dxfId="345" priority="651" operator="equal">
      <formula>1</formula>
    </cfRule>
    <cfRule type="cellIs" dxfId="344" priority="652" operator="equal">
      <formula>0</formula>
    </cfRule>
  </conditionalFormatting>
  <conditionalFormatting sqref="F41:F45">
    <cfRule type="cellIs" dxfId="343" priority="649" operator="equal">
      <formula>1</formula>
    </cfRule>
    <cfRule type="cellIs" dxfId="342" priority="650" operator="equal">
      <formula>0</formula>
    </cfRule>
  </conditionalFormatting>
  <conditionalFormatting sqref="D46:F47">
    <cfRule type="cellIs" dxfId="341" priority="647" operator="equal">
      <formula>1</formula>
    </cfRule>
    <cfRule type="cellIs" dxfId="340" priority="648" operator="equal">
      <formula>0</formula>
    </cfRule>
  </conditionalFormatting>
  <conditionalFormatting sqref="D49:D52">
    <cfRule type="cellIs" dxfId="339" priority="641" operator="equal">
      <formula>1</formula>
    </cfRule>
    <cfRule type="cellIs" dxfId="338" priority="642" operator="equal">
      <formula>0</formula>
    </cfRule>
  </conditionalFormatting>
  <conditionalFormatting sqref="E49:E52">
    <cfRule type="cellIs" dxfId="337" priority="635" operator="equal">
      <formula>1</formula>
    </cfRule>
    <cfRule type="cellIs" dxfId="336" priority="636" operator="equal">
      <formula>0</formula>
    </cfRule>
  </conditionalFormatting>
  <conditionalFormatting sqref="E49:E52">
    <cfRule type="cellIs" dxfId="335" priority="633" operator="equal">
      <formula>1</formula>
    </cfRule>
    <cfRule type="cellIs" dxfId="334" priority="634" operator="equal">
      <formula>0</formula>
    </cfRule>
  </conditionalFormatting>
  <conditionalFormatting sqref="D48:E52">
    <cfRule type="cellIs" dxfId="333" priority="631" operator="equal">
      <formula>1</formula>
    </cfRule>
    <cfRule type="cellIs" dxfId="332" priority="632" operator="equal">
      <formula>0</formula>
    </cfRule>
  </conditionalFormatting>
  <conditionalFormatting sqref="F48:F52">
    <cfRule type="cellIs" dxfId="331" priority="625" operator="equal">
      <formula>1</formula>
    </cfRule>
    <cfRule type="cellIs" dxfId="330" priority="626" operator="equal">
      <formula>0</formula>
    </cfRule>
  </conditionalFormatting>
  <conditionalFormatting sqref="F48:F52">
    <cfRule type="cellIs" dxfId="329" priority="623" operator="equal">
      <formula>1</formula>
    </cfRule>
    <cfRule type="cellIs" dxfId="328" priority="624" operator="equal">
      <formula>0</formula>
    </cfRule>
  </conditionalFormatting>
  <conditionalFormatting sqref="D53:F54">
    <cfRule type="cellIs" dxfId="327" priority="621" operator="equal">
      <formula>1</formula>
    </cfRule>
    <cfRule type="cellIs" dxfId="326" priority="622" operator="equal">
      <formula>0</formula>
    </cfRule>
  </conditionalFormatting>
  <conditionalFormatting sqref="D56:D59">
    <cfRule type="cellIs" dxfId="325" priority="615" operator="equal">
      <formula>1</formula>
    </cfRule>
    <cfRule type="cellIs" dxfId="324" priority="616" operator="equal">
      <formula>0</formula>
    </cfRule>
  </conditionalFormatting>
  <conditionalFormatting sqref="E56:E59">
    <cfRule type="cellIs" dxfId="323" priority="609" operator="equal">
      <formula>1</formula>
    </cfRule>
    <cfRule type="cellIs" dxfId="322" priority="610" operator="equal">
      <formula>0</formula>
    </cfRule>
  </conditionalFormatting>
  <conditionalFormatting sqref="E56:E59">
    <cfRule type="cellIs" dxfId="321" priority="607" operator="equal">
      <formula>1</formula>
    </cfRule>
    <cfRule type="cellIs" dxfId="320" priority="608" operator="equal">
      <formula>0</formula>
    </cfRule>
  </conditionalFormatting>
  <conditionalFormatting sqref="D55:E59">
    <cfRule type="cellIs" dxfId="319" priority="605" operator="equal">
      <formula>1</formula>
    </cfRule>
    <cfRule type="cellIs" dxfId="318" priority="606" operator="equal">
      <formula>0</formula>
    </cfRule>
  </conditionalFormatting>
  <conditionalFormatting sqref="F55:F59">
    <cfRule type="cellIs" dxfId="317" priority="599" operator="equal">
      <formula>1</formula>
    </cfRule>
    <cfRule type="cellIs" dxfId="316" priority="600" operator="equal">
      <formula>0</formula>
    </cfRule>
  </conditionalFormatting>
  <conditionalFormatting sqref="F55:F59">
    <cfRule type="cellIs" dxfId="315" priority="597" operator="equal">
      <formula>1</formula>
    </cfRule>
    <cfRule type="cellIs" dxfId="314" priority="598" operator="equal">
      <formula>0</formula>
    </cfRule>
  </conditionalFormatting>
  <conditionalFormatting sqref="D60:F61">
    <cfRule type="cellIs" dxfId="313" priority="595" operator="equal">
      <formula>1</formula>
    </cfRule>
    <cfRule type="cellIs" dxfId="312" priority="596" operator="equal">
      <formula>0</formula>
    </cfRule>
  </conditionalFormatting>
  <conditionalFormatting sqref="D63:D66">
    <cfRule type="cellIs" dxfId="311" priority="589" operator="equal">
      <formula>1</formula>
    </cfRule>
    <cfRule type="cellIs" dxfId="310" priority="590" operator="equal">
      <formula>0</formula>
    </cfRule>
  </conditionalFormatting>
  <conditionalFormatting sqref="E63:E66">
    <cfRule type="cellIs" dxfId="309" priority="583" operator="equal">
      <formula>1</formula>
    </cfRule>
    <cfRule type="cellIs" dxfId="308" priority="584" operator="equal">
      <formula>0</formula>
    </cfRule>
  </conditionalFormatting>
  <conditionalFormatting sqref="E63:E66">
    <cfRule type="cellIs" dxfId="307" priority="581" operator="equal">
      <formula>1</formula>
    </cfRule>
    <cfRule type="cellIs" dxfId="306" priority="582" operator="equal">
      <formula>0</formula>
    </cfRule>
  </conditionalFormatting>
  <conditionalFormatting sqref="D62:E66">
    <cfRule type="cellIs" dxfId="305" priority="579" operator="equal">
      <formula>1</formula>
    </cfRule>
    <cfRule type="cellIs" dxfId="304" priority="580" operator="equal">
      <formula>0</formula>
    </cfRule>
  </conditionalFormatting>
  <conditionalFormatting sqref="F62:F66">
    <cfRule type="cellIs" dxfId="303" priority="573" operator="equal">
      <formula>1</formula>
    </cfRule>
    <cfRule type="cellIs" dxfId="302" priority="574" operator="equal">
      <formula>0</formula>
    </cfRule>
  </conditionalFormatting>
  <conditionalFormatting sqref="F62:F66">
    <cfRule type="cellIs" dxfId="301" priority="571" operator="equal">
      <formula>1</formula>
    </cfRule>
    <cfRule type="cellIs" dxfId="300" priority="572" operator="equal">
      <formula>0</formula>
    </cfRule>
  </conditionalFormatting>
  <conditionalFormatting sqref="D67:F68">
    <cfRule type="cellIs" dxfId="299" priority="569" operator="equal">
      <formula>1</formula>
    </cfRule>
    <cfRule type="cellIs" dxfId="298" priority="570" operator="equal">
      <formula>0</formula>
    </cfRule>
  </conditionalFormatting>
  <conditionalFormatting sqref="D70:D73">
    <cfRule type="cellIs" dxfId="297" priority="563" operator="equal">
      <formula>1</formula>
    </cfRule>
    <cfRule type="cellIs" dxfId="296" priority="564" operator="equal">
      <formula>0</formula>
    </cfRule>
  </conditionalFormatting>
  <conditionalFormatting sqref="E70:E73">
    <cfRule type="cellIs" dxfId="295" priority="557" operator="equal">
      <formula>1</formula>
    </cfRule>
    <cfRule type="cellIs" dxfId="294" priority="558" operator="equal">
      <formula>0</formula>
    </cfRule>
  </conditionalFormatting>
  <conditionalFormatting sqref="E70:E73">
    <cfRule type="cellIs" dxfId="293" priority="555" operator="equal">
      <formula>1</formula>
    </cfRule>
    <cfRule type="cellIs" dxfId="292" priority="556" operator="equal">
      <formula>0</formula>
    </cfRule>
  </conditionalFormatting>
  <conditionalFormatting sqref="D69:E73">
    <cfRule type="cellIs" dxfId="291" priority="553" operator="equal">
      <formula>1</formula>
    </cfRule>
    <cfRule type="cellIs" dxfId="290" priority="554" operator="equal">
      <formula>0</formula>
    </cfRule>
  </conditionalFormatting>
  <conditionalFormatting sqref="F69:F73">
    <cfRule type="cellIs" dxfId="289" priority="547" operator="equal">
      <formula>1</formula>
    </cfRule>
    <cfRule type="cellIs" dxfId="288" priority="548" operator="equal">
      <formula>0</formula>
    </cfRule>
  </conditionalFormatting>
  <conditionalFormatting sqref="F69:F73">
    <cfRule type="cellIs" dxfId="287" priority="545" operator="equal">
      <formula>1</formula>
    </cfRule>
    <cfRule type="cellIs" dxfId="286" priority="546" operator="equal">
      <formula>0</formula>
    </cfRule>
  </conditionalFormatting>
  <conditionalFormatting sqref="D74:F75">
    <cfRule type="cellIs" dxfId="285" priority="543" operator="equal">
      <formula>1</formula>
    </cfRule>
    <cfRule type="cellIs" dxfId="284" priority="544" operator="equal">
      <formula>0</formula>
    </cfRule>
  </conditionalFormatting>
  <conditionalFormatting sqref="D77:D80">
    <cfRule type="cellIs" dxfId="283" priority="537" operator="equal">
      <formula>1</formula>
    </cfRule>
    <cfRule type="cellIs" dxfId="282" priority="538" operator="equal">
      <formula>0</formula>
    </cfRule>
  </conditionalFormatting>
  <conditionalFormatting sqref="E77:E80">
    <cfRule type="cellIs" dxfId="281" priority="531" operator="equal">
      <formula>1</formula>
    </cfRule>
    <cfRule type="cellIs" dxfId="280" priority="532" operator="equal">
      <formula>0</formula>
    </cfRule>
  </conditionalFormatting>
  <conditionalFormatting sqref="E77:E80">
    <cfRule type="cellIs" dxfId="279" priority="529" operator="equal">
      <formula>1</formula>
    </cfRule>
    <cfRule type="cellIs" dxfId="278" priority="530" operator="equal">
      <formula>0</formula>
    </cfRule>
  </conditionalFormatting>
  <conditionalFormatting sqref="D76:E80">
    <cfRule type="cellIs" dxfId="277" priority="527" operator="equal">
      <formula>1</formula>
    </cfRule>
    <cfRule type="cellIs" dxfId="276" priority="528" operator="equal">
      <formula>0</formula>
    </cfRule>
  </conditionalFormatting>
  <conditionalFormatting sqref="F76:F80">
    <cfRule type="cellIs" dxfId="275" priority="521" operator="equal">
      <formula>1</formula>
    </cfRule>
    <cfRule type="cellIs" dxfId="274" priority="522" operator="equal">
      <formula>0</formula>
    </cfRule>
  </conditionalFormatting>
  <conditionalFormatting sqref="F76:F80">
    <cfRule type="cellIs" dxfId="273" priority="519" operator="equal">
      <formula>1</formula>
    </cfRule>
    <cfRule type="cellIs" dxfId="272" priority="520" operator="equal">
      <formula>0</formula>
    </cfRule>
  </conditionalFormatting>
  <conditionalFormatting sqref="D81:F82">
    <cfRule type="cellIs" dxfId="271" priority="517" operator="equal">
      <formula>1</formula>
    </cfRule>
    <cfRule type="cellIs" dxfId="270" priority="518" operator="equal">
      <formula>0</formula>
    </cfRule>
  </conditionalFormatting>
  <conditionalFormatting sqref="D84:D87">
    <cfRule type="cellIs" dxfId="269" priority="511" operator="equal">
      <formula>1</formula>
    </cfRule>
    <cfRule type="cellIs" dxfId="268" priority="512" operator="equal">
      <formula>0</formula>
    </cfRule>
  </conditionalFormatting>
  <conditionalFormatting sqref="E84:E87">
    <cfRule type="cellIs" dxfId="267" priority="505" operator="equal">
      <formula>1</formula>
    </cfRule>
    <cfRule type="cellIs" dxfId="266" priority="506" operator="equal">
      <formula>0</formula>
    </cfRule>
  </conditionalFormatting>
  <conditionalFormatting sqref="E84:E87">
    <cfRule type="cellIs" dxfId="265" priority="503" operator="equal">
      <formula>1</formula>
    </cfRule>
    <cfRule type="cellIs" dxfId="264" priority="504" operator="equal">
      <formula>0</formula>
    </cfRule>
  </conditionalFormatting>
  <conditionalFormatting sqref="D84:E87">
    <cfRule type="cellIs" dxfId="263" priority="501" operator="equal">
      <formula>1</formula>
    </cfRule>
    <cfRule type="cellIs" dxfId="262" priority="502" operator="equal">
      <formula>0</formula>
    </cfRule>
  </conditionalFormatting>
  <conditionalFormatting sqref="F84:F87">
    <cfRule type="cellIs" dxfId="261" priority="495" operator="equal">
      <formula>1</formula>
    </cfRule>
    <cfRule type="cellIs" dxfId="260" priority="496" operator="equal">
      <formula>0</formula>
    </cfRule>
  </conditionalFormatting>
  <conditionalFormatting sqref="F84:F87">
    <cfRule type="cellIs" dxfId="259" priority="493" operator="equal">
      <formula>1</formula>
    </cfRule>
    <cfRule type="cellIs" dxfId="258" priority="494" operator="equal">
      <formula>0</formula>
    </cfRule>
  </conditionalFormatting>
  <conditionalFormatting sqref="D88:F89">
    <cfRule type="cellIs" dxfId="257" priority="491" operator="equal">
      <formula>1</formula>
    </cfRule>
    <cfRule type="cellIs" dxfId="256" priority="492" operator="equal">
      <formula>0</formula>
    </cfRule>
  </conditionalFormatting>
  <conditionalFormatting sqref="D91:D94">
    <cfRule type="cellIs" dxfId="255" priority="485" operator="equal">
      <formula>1</formula>
    </cfRule>
    <cfRule type="cellIs" dxfId="254" priority="486" operator="equal">
      <formula>0</formula>
    </cfRule>
  </conditionalFormatting>
  <conditionalFormatting sqref="E91:E94">
    <cfRule type="cellIs" dxfId="253" priority="479" operator="equal">
      <formula>1</formula>
    </cfRule>
    <cfRule type="cellIs" dxfId="252" priority="480" operator="equal">
      <formula>0</formula>
    </cfRule>
  </conditionalFormatting>
  <conditionalFormatting sqref="E91:E94">
    <cfRule type="cellIs" dxfId="251" priority="477" operator="equal">
      <formula>1</formula>
    </cfRule>
    <cfRule type="cellIs" dxfId="250" priority="478" operator="equal">
      <formula>0</formula>
    </cfRule>
  </conditionalFormatting>
  <conditionalFormatting sqref="D90:E94">
    <cfRule type="cellIs" dxfId="249" priority="475" operator="equal">
      <formula>1</formula>
    </cfRule>
    <cfRule type="cellIs" dxfId="248" priority="476" operator="equal">
      <formula>0</formula>
    </cfRule>
  </conditionalFormatting>
  <conditionalFormatting sqref="F90:F94">
    <cfRule type="cellIs" dxfId="247" priority="469" operator="equal">
      <formula>1</formula>
    </cfRule>
    <cfRule type="cellIs" dxfId="246" priority="470" operator="equal">
      <formula>0</formula>
    </cfRule>
  </conditionalFormatting>
  <conditionalFormatting sqref="F90:F94">
    <cfRule type="cellIs" dxfId="245" priority="467" operator="equal">
      <formula>1</formula>
    </cfRule>
    <cfRule type="cellIs" dxfId="244" priority="468" operator="equal">
      <formula>0</formula>
    </cfRule>
  </conditionalFormatting>
  <conditionalFormatting sqref="D95:F96">
    <cfRule type="cellIs" dxfId="243" priority="465" operator="equal">
      <formula>1</formula>
    </cfRule>
    <cfRule type="cellIs" dxfId="242" priority="466" operator="equal">
      <formula>0</formula>
    </cfRule>
  </conditionalFormatting>
  <conditionalFormatting sqref="F24">
    <cfRule type="cellIs" dxfId="241" priority="463" operator="equal">
      <formula>1</formula>
    </cfRule>
    <cfRule type="cellIs" dxfId="240" priority="464" operator="equal">
      <formula>0</formula>
    </cfRule>
  </conditionalFormatting>
  <conditionalFormatting sqref="H3">
    <cfRule type="cellIs" dxfId="239" priority="103" operator="equal">
      <formula>1</formula>
    </cfRule>
    <cfRule type="cellIs" dxfId="238" priority="104" operator="equal">
      <formula>0</formula>
    </cfRule>
  </conditionalFormatting>
  <conditionalFormatting sqref="D27:F27">
    <cfRule type="cellIs" dxfId="237" priority="457" operator="equal">
      <formula>1</formula>
    </cfRule>
    <cfRule type="cellIs" dxfId="236" priority="458" operator="equal">
      <formula>0</formula>
    </cfRule>
  </conditionalFormatting>
  <conditionalFormatting sqref="D34:F34">
    <cfRule type="cellIs" dxfId="235" priority="455" operator="equal">
      <formula>1</formula>
    </cfRule>
    <cfRule type="cellIs" dxfId="234" priority="456" operator="equal">
      <formula>0</formula>
    </cfRule>
  </conditionalFormatting>
  <conditionalFormatting sqref="D83:F83">
    <cfRule type="cellIs" dxfId="233" priority="453" operator="equal">
      <formula>1</formula>
    </cfRule>
    <cfRule type="cellIs" dxfId="232" priority="454" operator="equal">
      <formula>0</formula>
    </cfRule>
  </conditionalFormatting>
  <conditionalFormatting sqref="H4:H5">
    <cfRule type="cellIs" dxfId="231" priority="451" operator="equal">
      <formula>1</formula>
    </cfRule>
    <cfRule type="cellIs" dxfId="230" priority="452" operator="equal">
      <formula>0</formula>
    </cfRule>
  </conditionalFormatting>
  <conditionalFormatting sqref="J3:J5">
    <cfRule type="cellIs" dxfId="229" priority="447" operator="equal">
      <formula>1</formula>
    </cfRule>
    <cfRule type="cellIs" dxfId="228" priority="448" operator="equal">
      <formula>0</formula>
    </cfRule>
  </conditionalFormatting>
  <conditionalFormatting sqref="H7:H10">
    <cfRule type="cellIs" dxfId="227" priority="445" operator="equal">
      <formula>1</formula>
    </cfRule>
    <cfRule type="cellIs" dxfId="226" priority="446" operator="equal">
      <formula>0</formula>
    </cfRule>
  </conditionalFormatting>
  <conditionalFormatting sqref="I3:I5 I7:I10">
    <cfRule type="cellIs" dxfId="225" priority="439" operator="equal">
      <formula>1</formula>
    </cfRule>
    <cfRule type="cellIs" dxfId="224" priority="440" operator="equal">
      <formula>0</formula>
    </cfRule>
  </conditionalFormatting>
  <conditionalFormatting sqref="I3:I5 I7:I10">
    <cfRule type="cellIs" dxfId="223" priority="437" operator="equal">
      <formula>1</formula>
    </cfRule>
    <cfRule type="cellIs" dxfId="222" priority="438" operator="equal">
      <formula>0</formula>
    </cfRule>
  </conditionalFormatting>
  <conditionalFormatting sqref="H6:H10">
    <cfRule type="cellIs" dxfId="221" priority="435" operator="equal">
      <formula>1</formula>
    </cfRule>
    <cfRule type="cellIs" dxfId="220" priority="436" operator="equal">
      <formula>0</formula>
    </cfRule>
  </conditionalFormatting>
  <conditionalFormatting sqref="J6:J10">
    <cfRule type="cellIs" dxfId="219" priority="429" operator="equal">
      <formula>1</formula>
    </cfRule>
    <cfRule type="cellIs" dxfId="218" priority="430" operator="equal">
      <formula>0</formula>
    </cfRule>
  </conditionalFormatting>
  <conditionalFormatting sqref="J6:J10">
    <cfRule type="cellIs" dxfId="217" priority="427" operator="equal">
      <formula>1</formula>
    </cfRule>
    <cfRule type="cellIs" dxfId="216" priority="428" operator="equal">
      <formula>0</formula>
    </cfRule>
  </conditionalFormatting>
  <conditionalFormatting sqref="H11:H12">
    <cfRule type="cellIs" dxfId="215" priority="425" operator="equal">
      <formula>1</formula>
    </cfRule>
    <cfRule type="cellIs" dxfId="214" priority="426" operator="equal">
      <formula>0</formula>
    </cfRule>
  </conditionalFormatting>
  <conditionalFormatting sqref="H14:H17">
    <cfRule type="cellIs" dxfId="213" priority="419" operator="equal">
      <formula>1</formula>
    </cfRule>
    <cfRule type="cellIs" dxfId="212" priority="420" operator="equal">
      <formula>0</formula>
    </cfRule>
  </conditionalFormatting>
  <conditionalFormatting sqref="I14:I17">
    <cfRule type="cellIs" dxfId="211" priority="413" operator="equal">
      <formula>1</formula>
    </cfRule>
    <cfRule type="cellIs" dxfId="210" priority="414" operator="equal">
      <formula>0</formula>
    </cfRule>
  </conditionalFormatting>
  <conditionalFormatting sqref="I14:I17">
    <cfRule type="cellIs" dxfId="209" priority="411" operator="equal">
      <formula>1</formula>
    </cfRule>
    <cfRule type="cellIs" dxfId="208" priority="412" operator="equal">
      <formula>0</formula>
    </cfRule>
  </conditionalFormatting>
  <conditionalFormatting sqref="H13:H17">
    <cfRule type="cellIs" dxfId="207" priority="409" operator="equal">
      <formula>1</formula>
    </cfRule>
    <cfRule type="cellIs" dxfId="206" priority="410" operator="equal">
      <formula>0</formula>
    </cfRule>
  </conditionalFormatting>
  <conditionalFormatting sqref="J13:J17">
    <cfRule type="cellIs" dxfId="205" priority="403" operator="equal">
      <formula>1</formula>
    </cfRule>
    <cfRule type="cellIs" dxfId="204" priority="404" operator="equal">
      <formula>0</formula>
    </cfRule>
  </conditionalFormatting>
  <conditionalFormatting sqref="J13:J17">
    <cfRule type="cellIs" dxfId="203" priority="401" operator="equal">
      <formula>1</formula>
    </cfRule>
    <cfRule type="cellIs" dxfId="202" priority="402" operator="equal">
      <formula>0</formula>
    </cfRule>
  </conditionalFormatting>
  <conditionalFormatting sqref="H18:H19">
    <cfRule type="cellIs" dxfId="201" priority="399" operator="equal">
      <formula>1</formula>
    </cfRule>
    <cfRule type="cellIs" dxfId="200" priority="400" operator="equal">
      <formula>0</formula>
    </cfRule>
  </conditionalFormatting>
  <conditionalFormatting sqref="H21:H23">
    <cfRule type="cellIs" dxfId="199" priority="393" operator="equal">
      <formula>1</formula>
    </cfRule>
    <cfRule type="cellIs" dxfId="198" priority="394" operator="equal">
      <formula>0</formula>
    </cfRule>
  </conditionalFormatting>
  <conditionalFormatting sqref="I21:I23">
    <cfRule type="cellIs" dxfId="197" priority="387" operator="equal">
      <formula>1</formula>
    </cfRule>
    <cfRule type="cellIs" dxfId="196" priority="388" operator="equal">
      <formula>0</formula>
    </cfRule>
  </conditionalFormatting>
  <conditionalFormatting sqref="I21:I23">
    <cfRule type="cellIs" dxfId="195" priority="385" operator="equal">
      <formula>1</formula>
    </cfRule>
    <cfRule type="cellIs" dxfId="194" priority="386" operator="equal">
      <formula>0</formula>
    </cfRule>
  </conditionalFormatting>
  <conditionalFormatting sqref="H20:H23">
    <cfRule type="cellIs" dxfId="193" priority="383" operator="equal">
      <formula>1</formula>
    </cfRule>
    <cfRule type="cellIs" dxfId="192" priority="384" operator="equal">
      <formula>0</formula>
    </cfRule>
  </conditionalFormatting>
  <conditionalFormatting sqref="J20:J23">
    <cfRule type="cellIs" dxfId="191" priority="377" operator="equal">
      <formula>1</formula>
    </cfRule>
    <cfRule type="cellIs" dxfId="190" priority="378" operator="equal">
      <formula>0</formula>
    </cfRule>
  </conditionalFormatting>
  <conditionalFormatting sqref="J20:J23">
    <cfRule type="cellIs" dxfId="189" priority="375" operator="equal">
      <formula>1</formula>
    </cfRule>
    <cfRule type="cellIs" dxfId="188" priority="376" operator="equal">
      <formula>0</formula>
    </cfRule>
  </conditionalFormatting>
  <conditionalFormatting sqref="H25:H26">
    <cfRule type="cellIs" dxfId="187" priority="373" operator="equal">
      <formula>1</formula>
    </cfRule>
    <cfRule type="cellIs" dxfId="186" priority="374" operator="equal">
      <formula>0</formula>
    </cfRule>
  </conditionalFormatting>
  <conditionalFormatting sqref="H28:H31">
    <cfRule type="cellIs" dxfId="185" priority="367" operator="equal">
      <formula>1</formula>
    </cfRule>
    <cfRule type="cellIs" dxfId="184" priority="368" operator="equal">
      <formula>0</formula>
    </cfRule>
  </conditionalFormatting>
  <conditionalFormatting sqref="I28:I31">
    <cfRule type="cellIs" dxfId="183" priority="361" operator="equal">
      <formula>1</formula>
    </cfRule>
    <cfRule type="cellIs" dxfId="182" priority="362" operator="equal">
      <formula>0</formula>
    </cfRule>
  </conditionalFormatting>
  <conditionalFormatting sqref="I28:I31">
    <cfRule type="cellIs" dxfId="181" priority="359" operator="equal">
      <formula>1</formula>
    </cfRule>
    <cfRule type="cellIs" dxfId="180" priority="360" operator="equal">
      <formula>0</formula>
    </cfRule>
  </conditionalFormatting>
  <conditionalFormatting sqref="H28:H31">
    <cfRule type="cellIs" dxfId="179" priority="357" operator="equal">
      <formula>1</formula>
    </cfRule>
    <cfRule type="cellIs" dxfId="178" priority="358" operator="equal">
      <formula>0</formula>
    </cfRule>
  </conditionalFormatting>
  <conditionalFormatting sqref="J28:J31">
    <cfRule type="cellIs" dxfId="177" priority="351" operator="equal">
      <formula>1</formula>
    </cfRule>
    <cfRule type="cellIs" dxfId="176" priority="352" operator="equal">
      <formula>0</formula>
    </cfRule>
  </conditionalFormatting>
  <conditionalFormatting sqref="J28:J31">
    <cfRule type="cellIs" dxfId="175" priority="349" operator="equal">
      <formula>1</formula>
    </cfRule>
    <cfRule type="cellIs" dxfId="174" priority="350" operator="equal">
      <formula>0</formula>
    </cfRule>
  </conditionalFormatting>
  <conditionalFormatting sqref="H32:H33">
    <cfRule type="cellIs" dxfId="173" priority="347" operator="equal">
      <formula>1</formula>
    </cfRule>
    <cfRule type="cellIs" dxfId="172" priority="348" operator="equal">
      <formula>0</formula>
    </cfRule>
  </conditionalFormatting>
  <conditionalFormatting sqref="H35:H38">
    <cfRule type="cellIs" dxfId="171" priority="341" operator="equal">
      <formula>1</formula>
    </cfRule>
    <cfRule type="cellIs" dxfId="170" priority="342" operator="equal">
      <formula>0</formula>
    </cfRule>
  </conditionalFormatting>
  <conditionalFormatting sqref="I35:I38">
    <cfRule type="cellIs" dxfId="169" priority="335" operator="equal">
      <formula>1</formula>
    </cfRule>
    <cfRule type="cellIs" dxfId="168" priority="336" operator="equal">
      <formula>0</formula>
    </cfRule>
  </conditionalFormatting>
  <conditionalFormatting sqref="I35:I38">
    <cfRule type="cellIs" dxfId="167" priority="333" operator="equal">
      <formula>1</formula>
    </cfRule>
    <cfRule type="cellIs" dxfId="166" priority="334" operator="equal">
      <formula>0</formula>
    </cfRule>
  </conditionalFormatting>
  <conditionalFormatting sqref="H35:H38">
    <cfRule type="cellIs" dxfId="165" priority="331" operator="equal">
      <formula>1</formula>
    </cfRule>
    <cfRule type="cellIs" dxfId="164" priority="332" operator="equal">
      <formula>0</formula>
    </cfRule>
  </conditionalFormatting>
  <conditionalFormatting sqref="J35:J38">
    <cfRule type="cellIs" dxfId="163" priority="325" operator="equal">
      <formula>1</formula>
    </cfRule>
    <cfRule type="cellIs" dxfId="162" priority="326" operator="equal">
      <formula>0</formula>
    </cfRule>
  </conditionalFormatting>
  <conditionalFormatting sqref="J35:J38">
    <cfRule type="cellIs" dxfId="161" priority="323" operator="equal">
      <formula>1</formula>
    </cfRule>
    <cfRule type="cellIs" dxfId="160" priority="324" operator="equal">
      <formula>0</formula>
    </cfRule>
  </conditionalFormatting>
  <conditionalFormatting sqref="H39:H40">
    <cfRule type="cellIs" dxfId="159" priority="321" operator="equal">
      <formula>1</formula>
    </cfRule>
    <cfRule type="cellIs" dxfId="158" priority="322" operator="equal">
      <formula>0</formula>
    </cfRule>
  </conditionalFormatting>
  <conditionalFormatting sqref="H42:H45">
    <cfRule type="cellIs" dxfId="157" priority="315" operator="equal">
      <formula>1</formula>
    </cfRule>
    <cfRule type="cellIs" dxfId="156" priority="316" operator="equal">
      <formula>0</formula>
    </cfRule>
  </conditionalFormatting>
  <conditionalFormatting sqref="I42:I45">
    <cfRule type="cellIs" dxfId="155" priority="309" operator="equal">
      <formula>1</formula>
    </cfRule>
    <cfRule type="cellIs" dxfId="154" priority="310" operator="equal">
      <formula>0</formula>
    </cfRule>
  </conditionalFormatting>
  <conditionalFormatting sqref="I42:I45">
    <cfRule type="cellIs" dxfId="153" priority="307" operator="equal">
      <formula>1</formula>
    </cfRule>
    <cfRule type="cellIs" dxfId="152" priority="308" operator="equal">
      <formula>0</formula>
    </cfRule>
  </conditionalFormatting>
  <conditionalFormatting sqref="H41:H45">
    <cfRule type="cellIs" dxfId="151" priority="305" operator="equal">
      <formula>1</formula>
    </cfRule>
    <cfRule type="cellIs" dxfId="150" priority="306" operator="equal">
      <formula>0</formula>
    </cfRule>
  </conditionalFormatting>
  <conditionalFormatting sqref="J41:J45">
    <cfRule type="cellIs" dxfId="149" priority="299" operator="equal">
      <formula>1</formula>
    </cfRule>
    <cfRule type="cellIs" dxfId="148" priority="300" operator="equal">
      <formula>0</formula>
    </cfRule>
  </conditionalFormatting>
  <conditionalFormatting sqref="J41:J45">
    <cfRule type="cellIs" dxfId="147" priority="297" operator="equal">
      <formula>1</formula>
    </cfRule>
    <cfRule type="cellIs" dxfId="146" priority="298" operator="equal">
      <formula>0</formula>
    </cfRule>
  </conditionalFormatting>
  <conditionalFormatting sqref="H46:H47">
    <cfRule type="cellIs" dxfId="145" priority="295" operator="equal">
      <formula>1</formula>
    </cfRule>
    <cfRule type="cellIs" dxfId="144" priority="296" operator="equal">
      <formula>0</formula>
    </cfRule>
  </conditionalFormatting>
  <conditionalFormatting sqref="H49:H52">
    <cfRule type="cellIs" dxfId="143" priority="289" operator="equal">
      <formula>1</formula>
    </cfRule>
    <cfRule type="cellIs" dxfId="142" priority="290" operator="equal">
      <formula>0</formula>
    </cfRule>
  </conditionalFormatting>
  <conditionalFormatting sqref="I49:I52">
    <cfRule type="cellIs" dxfId="141" priority="283" operator="equal">
      <formula>1</formula>
    </cfRule>
    <cfRule type="cellIs" dxfId="140" priority="284" operator="equal">
      <formula>0</formula>
    </cfRule>
  </conditionalFormatting>
  <conditionalFormatting sqref="I49:I52">
    <cfRule type="cellIs" dxfId="139" priority="281" operator="equal">
      <formula>1</formula>
    </cfRule>
    <cfRule type="cellIs" dxfId="138" priority="282" operator="equal">
      <formula>0</formula>
    </cfRule>
  </conditionalFormatting>
  <conditionalFormatting sqref="H48:H52">
    <cfRule type="cellIs" dxfId="137" priority="279" operator="equal">
      <formula>1</formula>
    </cfRule>
    <cfRule type="cellIs" dxfId="136" priority="280" operator="equal">
      <formula>0</formula>
    </cfRule>
  </conditionalFormatting>
  <conditionalFormatting sqref="J48:J52">
    <cfRule type="cellIs" dxfId="135" priority="273" operator="equal">
      <formula>1</formula>
    </cfRule>
    <cfRule type="cellIs" dxfId="134" priority="274" operator="equal">
      <formula>0</formula>
    </cfRule>
  </conditionalFormatting>
  <conditionalFormatting sqref="J48:J52">
    <cfRule type="cellIs" dxfId="133" priority="271" operator="equal">
      <formula>1</formula>
    </cfRule>
    <cfRule type="cellIs" dxfId="132" priority="272" operator="equal">
      <formula>0</formula>
    </cfRule>
  </conditionalFormatting>
  <conditionalFormatting sqref="H53:H54">
    <cfRule type="cellIs" dxfId="131" priority="269" operator="equal">
      <formula>1</formula>
    </cfRule>
    <cfRule type="cellIs" dxfId="130" priority="270" operator="equal">
      <formula>0</formula>
    </cfRule>
  </conditionalFormatting>
  <conditionalFormatting sqref="H56:H59">
    <cfRule type="cellIs" dxfId="129" priority="263" operator="equal">
      <formula>1</formula>
    </cfRule>
    <cfRule type="cellIs" dxfId="128" priority="264" operator="equal">
      <formula>0</formula>
    </cfRule>
  </conditionalFormatting>
  <conditionalFormatting sqref="I56:I59">
    <cfRule type="cellIs" dxfId="127" priority="257" operator="equal">
      <formula>1</formula>
    </cfRule>
    <cfRule type="cellIs" dxfId="126" priority="258" operator="equal">
      <formula>0</formula>
    </cfRule>
  </conditionalFormatting>
  <conditionalFormatting sqref="I56:I59">
    <cfRule type="cellIs" dxfId="125" priority="255" operator="equal">
      <formula>1</formula>
    </cfRule>
    <cfRule type="cellIs" dxfId="124" priority="256" operator="equal">
      <formula>0</formula>
    </cfRule>
  </conditionalFormatting>
  <conditionalFormatting sqref="H55:H59">
    <cfRule type="cellIs" dxfId="123" priority="253" operator="equal">
      <formula>1</formula>
    </cfRule>
    <cfRule type="cellIs" dxfId="122" priority="254" operator="equal">
      <formula>0</formula>
    </cfRule>
  </conditionalFormatting>
  <conditionalFormatting sqref="J55:J59">
    <cfRule type="cellIs" dxfId="121" priority="247" operator="equal">
      <formula>1</formula>
    </cfRule>
    <cfRule type="cellIs" dxfId="120" priority="248" operator="equal">
      <formula>0</formula>
    </cfRule>
  </conditionalFormatting>
  <conditionalFormatting sqref="J55:J59">
    <cfRule type="cellIs" dxfId="119" priority="245" operator="equal">
      <formula>1</formula>
    </cfRule>
    <cfRule type="cellIs" dxfId="118" priority="246" operator="equal">
      <formula>0</formula>
    </cfRule>
  </conditionalFormatting>
  <conditionalFormatting sqref="H60:H61">
    <cfRule type="cellIs" dxfId="117" priority="243" operator="equal">
      <formula>1</formula>
    </cfRule>
    <cfRule type="cellIs" dxfId="116" priority="244" operator="equal">
      <formula>0</formula>
    </cfRule>
  </conditionalFormatting>
  <conditionalFormatting sqref="H63:H66">
    <cfRule type="cellIs" dxfId="115" priority="237" operator="equal">
      <formula>1</formula>
    </cfRule>
    <cfRule type="cellIs" dxfId="114" priority="238" operator="equal">
      <formula>0</formula>
    </cfRule>
  </conditionalFormatting>
  <conditionalFormatting sqref="I63:I66">
    <cfRule type="cellIs" dxfId="113" priority="231" operator="equal">
      <formula>1</formula>
    </cfRule>
    <cfRule type="cellIs" dxfId="112" priority="232" operator="equal">
      <formula>0</formula>
    </cfRule>
  </conditionalFormatting>
  <conditionalFormatting sqref="I63:I66">
    <cfRule type="cellIs" dxfId="111" priority="229" operator="equal">
      <formula>1</formula>
    </cfRule>
    <cfRule type="cellIs" dxfId="110" priority="230" operator="equal">
      <formula>0</formula>
    </cfRule>
  </conditionalFormatting>
  <conditionalFormatting sqref="H62:H66">
    <cfRule type="cellIs" dxfId="109" priority="227" operator="equal">
      <formula>1</formula>
    </cfRule>
    <cfRule type="cellIs" dxfId="108" priority="228" operator="equal">
      <formula>0</formula>
    </cfRule>
  </conditionalFormatting>
  <conditionalFormatting sqref="J62:J66">
    <cfRule type="cellIs" dxfId="107" priority="221" operator="equal">
      <formula>1</formula>
    </cfRule>
    <cfRule type="cellIs" dxfId="106" priority="222" operator="equal">
      <formula>0</formula>
    </cfRule>
  </conditionalFormatting>
  <conditionalFormatting sqref="J62:J66">
    <cfRule type="cellIs" dxfId="105" priority="219" operator="equal">
      <formula>1</formula>
    </cfRule>
    <cfRule type="cellIs" dxfId="104" priority="220" operator="equal">
      <formula>0</formula>
    </cfRule>
  </conditionalFormatting>
  <conditionalFormatting sqref="H67:H68">
    <cfRule type="cellIs" dxfId="103" priority="217" operator="equal">
      <formula>1</formula>
    </cfRule>
    <cfRule type="cellIs" dxfId="102" priority="218" operator="equal">
      <formula>0</formula>
    </cfRule>
  </conditionalFormatting>
  <conditionalFormatting sqref="H70:H73">
    <cfRule type="cellIs" dxfId="101" priority="211" operator="equal">
      <formula>1</formula>
    </cfRule>
    <cfRule type="cellIs" dxfId="100" priority="212" operator="equal">
      <formula>0</formula>
    </cfRule>
  </conditionalFormatting>
  <conditionalFormatting sqref="I70:I73">
    <cfRule type="cellIs" dxfId="99" priority="205" operator="equal">
      <formula>1</formula>
    </cfRule>
    <cfRule type="cellIs" dxfId="98" priority="206" operator="equal">
      <formula>0</formula>
    </cfRule>
  </conditionalFormatting>
  <conditionalFormatting sqref="I70:I73">
    <cfRule type="cellIs" dxfId="97" priority="203" operator="equal">
      <formula>1</formula>
    </cfRule>
    <cfRule type="cellIs" dxfId="96" priority="204" operator="equal">
      <formula>0</formula>
    </cfRule>
  </conditionalFormatting>
  <conditionalFormatting sqref="H69:H73">
    <cfRule type="cellIs" dxfId="95" priority="201" operator="equal">
      <formula>1</formula>
    </cfRule>
    <cfRule type="cellIs" dxfId="94" priority="202" operator="equal">
      <formula>0</formula>
    </cfRule>
  </conditionalFormatting>
  <conditionalFormatting sqref="J69:J73">
    <cfRule type="cellIs" dxfId="93" priority="195" operator="equal">
      <formula>1</formula>
    </cfRule>
    <cfRule type="cellIs" dxfId="92" priority="196" operator="equal">
      <formula>0</formula>
    </cfRule>
  </conditionalFormatting>
  <conditionalFormatting sqref="J69:J73">
    <cfRule type="cellIs" dxfId="91" priority="193" operator="equal">
      <formula>1</formula>
    </cfRule>
    <cfRule type="cellIs" dxfId="90" priority="194" operator="equal">
      <formula>0</formula>
    </cfRule>
  </conditionalFormatting>
  <conditionalFormatting sqref="H74:H75">
    <cfRule type="cellIs" dxfId="89" priority="191" operator="equal">
      <formula>1</formula>
    </cfRule>
    <cfRule type="cellIs" dxfId="88" priority="192" operator="equal">
      <formula>0</formula>
    </cfRule>
  </conditionalFormatting>
  <conditionalFormatting sqref="H77:H80">
    <cfRule type="cellIs" dxfId="87" priority="185" operator="equal">
      <formula>1</formula>
    </cfRule>
    <cfRule type="cellIs" dxfId="86" priority="186" operator="equal">
      <formula>0</formula>
    </cfRule>
  </conditionalFormatting>
  <conditionalFormatting sqref="I77:I80">
    <cfRule type="cellIs" dxfId="85" priority="179" operator="equal">
      <formula>1</formula>
    </cfRule>
    <cfRule type="cellIs" dxfId="84" priority="180" operator="equal">
      <formula>0</formula>
    </cfRule>
  </conditionalFormatting>
  <conditionalFormatting sqref="I77:I80">
    <cfRule type="cellIs" dxfId="83" priority="177" operator="equal">
      <formula>1</formula>
    </cfRule>
    <cfRule type="cellIs" dxfId="82" priority="178" operator="equal">
      <formula>0</formula>
    </cfRule>
  </conditionalFormatting>
  <conditionalFormatting sqref="H76:H80">
    <cfRule type="cellIs" dxfId="81" priority="175" operator="equal">
      <formula>1</formula>
    </cfRule>
    <cfRule type="cellIs" dxfId="80" priority="176" operator="equal">
      <formula>0</formula>
    </cfRule>
  </conditionalFormatting>
  <conditionalFormatting sqref="J76:J80">
    <cfRule type="cellIs" dxfId="79" priority="169" operator="equal">
      <formula>1</formula>
    </cfRule>
    <cfRule type="cellIs" dxfId="78" priority="170" operator="equal">
      <formula>0</formula>
    </cfRule>
  </conditionalFormatting>
  <conditionalFormatting sqref="J76:J80">
    <cfRule type="cellIs" dxfId="77" priority="167" operator="equal">
      <formula>1</formula>
    </cfRule>
    <cfRule type="cellIs" dxfId="76" priority="168" operator="equal">
      <formula>0</formula>
    </cfRule>
  </conditionalFormatting>
  <conditionalFormatting sqref="H81:H82">
    <cfRule type="cellIs" dxfId="75" priority="165" operator="equal">
      <formula>1</formula>
    </cfRule>
    <cfRule type="cellIs" dxfId="74" priority="166" operator="equal">
      <formula>0</formula>
    </cfRule>
  </conditionalFormatting>
  <conditionalFormatting sqref="H84:H87">
    <cfRule type="cellIs" dxfId="73" priority="159" operator="equal">
      <formula>1</formula>
    </cfRule>
    <cfRule type="cellIs" dxfId="72" priority="160" operator="equal">
      <formula>0</formula>
    </cfRule>
  </conditionalFormatting>
  <conditionalFormatting sqref="I84:I87">
    <cfRule type="cellIs" dxfId="71" priority="153" operator="equal">
      <formula>1</formula>
    </cfRule>
    <cfRule type="cellIs" dxfId="70" priority="154" operator="equal">
      <formula>0</formula>
    </cfRule>
  </conditionalFormatting>
  <conditionalFormatting sqref="I84:I87">
    <cfRule type="cellIs" dxfId="69" priority="151" operator="equal">
      <formula>1</formula>
    </cfRule>
    <cfRule type="cellIs" dxfId="68" priority="152" operator="equal">
      <formula>0</formula>
    </cfRule>
  </conditionalFormatting>
  <conditionalFormatting sqref="H84:H87">
    <cfRule type="cellIs" dxfId="67" priority="149" operator="equal">
      <formula>1</formula>
    </cfRule>
    <cfRule type="cellIs" dxfId="66" priority="150" operator="equal">
      <formula>0</formula>
    </cfRule>
  </conditionalFormatting>
  <conditionalFormatting sqref="J84:J87">
    <cfRule type="cellIs" dxfId="65" priority="143" operator="equal">
      <formula>1</formula>
    </cfRule>
    <cfRule type="cellIs" dxfId="64" priority="144" operator="equal">
      <formula>0</formula>
    </cfRule>
  </conditionalFormatting>
  <conditionalFormatting sqref="J84:J87">
    <cfRule type="cellIs" dxfId="63" priority="141" operator="equal">
      <formula>1</formula>
    </cfRule>
    <cfRule type="cellIs" dxfId="62" priority="142" operator="equal">
      <formula>0</formula>
    </cfRule>
  </conditionalFormatting>
  <conditionalFormatting sqref="H88:H89">
    <cfRule type="cellIs" dxfId="61" priority="139" operator="equal">
      <formula>1</formula>
    </cfRule>
    <cfRule type="cellIs" dxfId="60" priority="140" operator="equal">
      <formula>0</formula>
    </cfRule>
  </conditionalFormatting>
  <conditionalFormatting sqref="H91:H94">
    <cfRule type="cellIs" dxfId="59" priority="133" operator="equal">
      <formula>1</formula>
    </cfRule>
    <cfRule type="cellIs" dxfId="58" priority="134" operator="equal">
      <formula>0</formula>
    </cfRule>
  </conditionalFormatting>
  <conditionalFormatting sqref="I91:I94">
    <cfRule type="cellIs" dxfId="57" priority="127" operator="equal">
      <formula>1</formula>
    </cfRule>
    <cfRule type="cellIs" dxfId="56" priority="128" operator="equal">
      <formula>0</formula>
    </cfRule>
  </conditionalFormatting>
  <conditionalFormatting sqref="I91:I94">
    <cfRule type="cellIs" dxfId="55" priority="125" operator="equal">
      <formula>1</formula>
    </cfRule>
    <cfRule type="cellIs" dxfId="54" priority="126" operator="equal">
      <formula>0</formula>
    </cfRule>
  </conditionalFormatting>
  <conditionalFormatting sqref="H90:H94">
    <cfRule type="cellIs" dxfId="53" priority="123" operator="equal">
      <formula>1</formula>
    </cfRule>
    <cfRule type="cellIs" dxfId="52" priority="124" operator="equal">
      <formula>0</formula>
    </cfRule>
  </conditionalFormatting>
  <conditionalFormatting sqref="J90:J94">
    <cfRule type="cellIs" dxfId="51" priority="117" operator="equal">
      <formula>1</formula>
    </cfRule>
    <cfRule type="cellIs" dxfId="50" priority="118" operator="equal">
      <formula>0</formula>
    </cfRule>
  </conditionalFormatting>
  <conditionalFormatting sqref="J90:J94">
    <cfRule type="cellIs" dxfId="49" priority="115" operator="equal">
      <formula>1</formula>
    </cfRule>
    <cfRule type="cellIs" dxfId="48" priority="116" operator="equal">
      <formula>0</formula>
    </cfRule>
  </conditionalFormatting>
  <conditionalFormatting sqref="H95:H96">
    <cfRule type="cellIs" dxfId="47" priority="113" operator="equal">
      <formula>1</formula>
    </cfRule>
    <cfRule type="cellIs" dxfId="46" priority="114" operator="equal">
      <formula>0</formula>
    </cfRule>
  </conditionalFormatting>
  <conditionalFormatting sqref="H24">
    <cfRule type="cellIs" dxfId="45" priority="111" operator="equal">
      <formula>1</formula>
    </cfRule>
    <cfRule type="cellIs" dxfId="44" priority="112" operator="equal">
      <formula>0</formula>
    </cfRule>
  </conditionalFormatting>
  <conditionalFormatting sqref="H27">
    <cfRule type="cellIs" dxfId="43" priority="109" operator="equal">
      <formula>1</formula>
    </cfRule>
    <cfRule type="cellIs" dxfId="42" priority="110" operator="equal">
      <formula>0</formula>
    </cfRule>
  </conditionalFormatting>
  <conditionalFormatting sqref="H34">
    <cfRule type="cellIs" dxfId="41" priority="107" operator="equal">
      <formula>1</formula>
    </cfRule>
    <cfRule type="cellIs" dxfId="40" priority="108" operator="equal">
      <formula>0</formula>
    </cfRule>
  </conditionalFormatting>
  <conditionalFormatting sqref="H83">
    <cfRule type="cellIs" dxfId="39" priority="105" operator="equal">
      <formula>1</formula>
    </cfRule>
    <cfRule type="cellIs" dxfId="38" priority="106" operator="equal">
      <formula>0</formula>
    </cfRule>
  </conditionalFormatting>
  <conditionalFormatting sqref="F7">
    <cfRule type="cellIs" dxfId="37" priority="101" operator="equal">
      <formula>1</formula>
    </cfRule>
    <cfRule type="cellIs" dxfId="36" priority="102" operator="equal">
      <formula>0</formula>
    </cfRule>
  </conditionalFormatting>
  <conditionalFormatting sqref="D8">
    <cfRule type="cellIs" dxfId="35" priority="77" operator="equal">
      <formula>1</formula>
    </cfRule>
    <cfRule type="cellIs" dxfId="34" priority="78" operator="equal">
      <formula>0</formula>
    </cfRule>
  </conditionalFormatting>
  <conditionalFormatting sqref="D8">
    <cfRule type="cellIs" dxfId="33" priority="75" operator="equal">
      <formula>1</formula>
    </cfRule>
    <cfRule type="cellIs" dxfId="32" priority="76" operator="equal">
      <formula>0</formula>
    </cfRule>
  </conditionalFormatting>
  <conditionalFormatting sqref="F8">
    <cfRule type="cellIs" dxfId="31" priority="73" operator="equal">
      <formula>1</formula>
    </cfRule>
    <cfRule type="cellIs" dxfId="30" priority="74" operator="equal">
      <formula>0</formula>
    </cfRule>
  </conditionalFormatting>
  <conditionalFormatting sqref="D9:D16">
    <cfRule type="cellIs" dxfId="29" priority="49" operator="equal">
      <formula>1</formula>
    </cfRule>
    <cfRule type="cellIs" dxfId="28" priority="50" operator="equal">
      <formula>0</formula>
    </cfRule>
  </conditionalFormatting>
  <conditionalFormatting sqref="D9:D16">
    <cfRule type="cellIs" dxfId="27" priority="47" operator="equal">
      <formula>1</formula>
    </cfRule>
    <cfRule type="cellIs" dxfId="26" priority="48" operator="equal">
      <formula>0</formula>
    </cfRule>
  </conditionalFormatting>
  <conditionalFormatting sqref="F9:F16">
    <cfRule type="cellIs" dxfId="25" priority="45" operator="equal">
      <formula>1</formula>
    </cfRule>
    <cfRule type="cellIs" dxfId="24" priority="46" operator="equal">
      <formula>0</formula>
    </cfRule>
  </conditionalFormatting>
  <conditionalFormatting sqref="D3">
    <cfRule type="cellIs" dxfId="23" priority="19" operator="equal">
      <formula>1</formula>
    </cfRule>
    <cfRule type="cellIs" dxfId="22" priority="20" operator="equal">
      <formula>0</formula>
    </cfRule>
  </conditionalFormatting>
  <conditionalFormatting sqref="D3">
    <cfRule type="cellIs" dxfId="21" priority="17" operator="equal">
      <formula>1</formula>
    </cfRule>
    <cfRule type="cellIs" dxfId="20" priority="18" operator="equal">
      <formula>0</formula>
    </cfRule>
  </conditionalFormatting>
  <conditionalFormatting sqref="E7">
    <cfRule type="cellIs" dxfId="19" priority="15" operator="equal">
      <formula>1</formula>
    </cfRule>
    <cfRule type="cellIs" dxfId="18" priority="16" operator="equal">
      <formula>0</formula>
    </cfRule>
  </conditionalFormatting>
  <conditionalFormatting sqref="E8">
    <cfRule type="cellIs" dxfId="17" priority="13" operator="equal">
      <formula>1</formula>
    </cfRule>
    <cfRule type="cellIs" dxfId="16" priority="14" operator="equal">
      <formula>0</formula>
    </cfRule>
  </conditionalFormatting>
  <conditionalFormatting sqref="E8">
    <cfRule type="cellIs" dxfId="15" priority="11" operator="equal">
      <formula>1</formula>
    </cfRule>
    <cfRule type="cellIs" dxfId="14" priority="12" operator="equal">
      <formula>0</formula>
    </cfRule>
  </conditionalFormatting>
  <conditionalFormatting sqref="E9:E16">
    <cfRule type="cellIs" dxfId="13" priority="9" operator="equal">
      <formula>1</formula>
    </cfRule>
    <cfRule type="cellIs" dxfId="12" priority="10" operator="equal">
      <formula>0</formula>
    </cfRule>
  </conditionalFormatting>
  <conditionalFormatting sqref="E9:E16">
    <cfRule type="cellIs" dxfId="11" priority="7" operator="equal">
      <formula>1</formula>
    </cfRule>
    <cfRule type="cellIs" dxfId="10" priority="8" operator="equal">
      <formula>0</formula>
    </cfRule>
  </conditionalFormatting>
  <conditionalFormatting sqref="E3">
    <cfRule type="cellIs" dxfId="9" priority="5" operator="equal">
      <formula>1</formula>
    </cfRule>
    <cfRule type="cellIs" dxfId="8" priority="6" operator="equal">
      <formula>0</formula>
    </cfRule>
  </conditionalFormatting>
  <conditionalFormatting sqref="E3">
    <cfRule type="cellIs" dxfId="7" priority="3" operator="equal">
      <formula>1</formula>
    </cfRule>
    <cfRule type="cellIs" dxfId="6" priority="4" operator="equal">
      <formula>0</formula>
    </cfRule>
  </conditionalFormatting>
  <conditionalFormatting sqref="D24:E24">
    <cfRule type="cellIs" dxfId="5" priority="1" operator="equal">
      <formula>1</formula>
    </cfRule>
    <cfRule type="cellIs" dxfId="4" priority="2" operator="equal">
      <formula>0</formula>
    </cfRule>
  </conditionalFormatting>
  <pageMargins left="0.7" right="0.7" top="0.75" bottom="0.75" header="0.3" footer="0.3"/>
  <pageSetup paperSize="9" orientation="portrait" horizontalDpi="90" verticalDpi="9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22" stopIfTrue="1" operator="greaterThanOrEqual" id="{B4007DA1-C213-4785-9BDF-8158A1E119F5}">
            <xm:f>Days!$F$1</xm:f>
            <x14:dxf>
              <font>
                <color theme="9" tint="-0.24994659260841701"/>
              </font>
              <fill>
                <patternFill>
                  <bgColor theme="9" tint="0.79998168889431442"/>
                </patternFill>
              </fill>
            </x14:dxf>
          </x14:cfRule>
          <xm:sqref>V3:X96</xm:sqref>
        </x14:conditionalFormatting>
        <x14:conditionalFormatting xmlns:xm="http://schemas.microsoft.com/office/excel/2006/main">
          <x14:cfRule type="cellIs" priority="1815" operator="greaterThanOrEqual" id="{AE5742E7-807B-4336-9FC9-F30A6D7D87E4}">
            <xm:f>Days!$F$1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816" operator="lessThan" id="{5300C7E6-B8CF-4CD4-8E01-F353C64F1C3B}">
            <xm:f>Days!$F$1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Z3:AB96 AZ3:BB96</xm:sqref>
        </x14:conditionalFormatting>
        <x14:conditionalFormatting xmlns:xm="http://schemas.microsoft.com/office/excel/2006/main">
          <x14:cfRule type="cellIs" priority="1821" stopIfTrue="1" operator="lessThan" id="{9A351610-26DA-479D-BAA0-85762E6CF547}">
            <xm:f>Days!$F$1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V3:X96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D98E38FEF6478129FBE21405D3B1" ma:contentTypeVersion="16" ma:contentTypeDescription="Create a new document." ma:contentTypeScope="" ma:versionID="03a82d2870c2d923be23af47f79fa0ff">
  <xsd:schema xmlns:xsd="http://www.w3.org/2001/XMLSchema" xmlns:xs="http://www.w3.org/2001/XMLSchema" xmlns:p="http://schemas.microsoft.com/office/2006/metadata/properties" xmlns:ns2="cc486dad-39bf-4d55-9b20-c89d466c9391" xmlns:ns3="26313d5c-23c9-455c-97dd-7e1ac6919db0" targetNamespace="http://schemas.microsoft.com/office/2006/metadata/properties" ma:root="true" ma:fieldsID="894fa8e2f3e9b60fe4180bdc71f19153" ns2:_="" ns3:_="">
    <xsd:import namespace="cc486dad-39bf-4d55-9b20-c89d466c9391"/>
    <xsd:import namespace="26313d5c-23c9-455c-97dd-7e1ac6919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86dad-39bf-4d55-9b20-c89d466c9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af39bdc-e355-4d0b-abbc-a9adafa3d0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13d5c-23c9-455c-97dd-7e1ac6919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b27fcc-7a62-43ab-a71a-fb8f4f9ffd29}" ma:internalName="TaxCatchAll" ma:showField="CatchAllData" ma:web="26313d5c-23c9-455c-97dd-7e1ac6919d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13d5c-23c9-455c-97dd-7e1ac6919db0" xsi:nil="true"/>
    <lcf76f155ced4ddcb4097134ff3c332f xmlns="cc486dad-39bf-4d55-9b20-c89d466c9391">
      <Terms xmlns="http://schemas.microsoft.com/office/infopath/2007/PartnerControls"/>
    </lcf76f155ced4ddcb4097134ff3c332f>
    <_Flow_SignoffStatus xmlns="cc486dad-39bf-4d55-9b20-c89d466c939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5C78AC-F44F-4438-945C-A71038E74B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86dad-39bf-4d55-9b20-c89d466c9391"/>
    <ds:schemaRef ds:uri="26313d5c-23c9-455c-97dd-7e1ac6919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7EAC2B-1D2E-45BB-9DDD-70AF139C4D7A}">
  <ds:schemaRefs>
    <ds:schemaRef ds:uri="http://schemas.openxmlformats.org/package/2006/metadata/core-properties"/>
    <ds:schemaRef ds:uri="http://purl.org/dc/terms/"/>
    <ds:schemaRef ds:uri="http://purl.org/dc/elements/1.1/"/>
    <ds:schemaRef ds:uri="26313d5c-23c9-455c-97dd-7e1ac6919db0"/>
    <ds:schemaRef ds:uri="http://schemas.microsoft.com/office/2006/documentManagement/types"/>
    <ds:schemaRef ds:uri="http://purl.org/dc/dcmitype/"/>
    <ds:schemaRef ds:uri="cc486dad-39bf-4d55-9b20-c89d466c9391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D46A8CC-618D-434A-A39E-E9A80246CE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Days</vt:lpstr>
      <vt:lpstr>2024 - L&amp;G R64 - Test Instances</vt:lpstr>
      <vt:lpstr>2024 - L&amp;G R64 Pivot</vt:lpstr>
      <vt:lpstr>2024 - L&amp;G R64 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Jarillas, Leonard</dc:creator>
  <cp:keywords/>
  <dc:description/>
  <cp:lastModifiedBy>Kalra, Manoj</cp:lastModifiedBy>
  <cp:revision/>
  <dcterms:created xsi:type="dcterms:W3CDTF">2021-02-17T08:43:23Z</dcterms:created>
  <dcterms:modified xsi:type="dcterms:W3CDTF">2024-11-27T04:29:40Z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0x0101005623D98E38FEF6478129FBE21405D3B1</vt:lpwstr>
  </property>
</Properties>
</file>